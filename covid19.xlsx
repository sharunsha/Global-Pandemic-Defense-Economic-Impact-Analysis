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u\Downloads\"/>
    </mc:Choice>
  </mc:AlternateContent>
  <xr:revisionPtr revIDLastSave="0" documentId="13_ncr:1_{0E48FBF2-A1E8-4C21-9568-111AD48A77AA}" xr6:coauthVersionLast="47" xr6:coauthVersionMax="47" xr10:uidLastSave="{00000000-0000-0000-0000-000000000000}"/>
  <bookViews>
    <workbookView xWindow="-108" yWindow="-108" windowWidth="23256" windowHeight="12456" activeTab="1" xr2:uid="{1D347313-32B7-426C-BACF-D829A6265188}"/>
  </bookViews>
  <sheets>
    <sheet name="Sheet2" sheetId="5" r:id="rId1"/>
    <sheet name="Sheet3" sheetId="3" r:id="rId2"/>
    <sheet name="Sheet1" sheetId="4" r:id="rId3"/>
  </sheets>
  <definedNames>
    <definedName name="_xlnm._FilterDatabase" localSheetId="1" hidden="1">Sheet3!$A$1:$K$232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9" i="3"/>
  <c r="O230" i="3"/>
  <c r="O231" i="3"/>
  <c r="O2" i="3"/>
</calcChain>
</file>

<file path=xl/sharedStrings.xml><?xml version="1.0" encoding="utf-8"?>
<sst xmlns="http://schemas.openxmlformats.org/spreadsheetml/2006/main" count="838" uniqueCount="265">
  <si>
    <t>Population</t>
  </si>
  <si>
    <t>USA</t>
  </si>
  <si>
    <t>India</t>
  </si>
  <si>
    <t>France</t>
  </si>
  <si>
    <t>Germany</t>
  </si>
  <si>
    <t>Brazil</t>
  </si>
  <si>
    <t>S. Korea</t>
  </si>
  <si>
    <t>Japan</t>
  </si>
  <si>
    <t>Italy</t>
  </si>
  <si>
    <t>UK</t>
  </si>
  <si>
    <t>Russia</t>
  </si>
  <si>
    <t>Turkey</t>
  </si>
  <si>
    <t>Spain</t>
  </si>
  <si>
    <t>Australia</t>
  </si>
  <si>
    <t>Vietnam</t>
  </si>
  <si>
    <t>Taiwan</t>
  </si>
  <si>
    <t>Argentina</t>
  </si>
  <si>
    <t>Netherlands</t>
  </si>
  <si>
    <t>Mexico</t>
  </si>
  <si>
    <t>Iran</t>
  </si>
  <si>
    <t>Indonesia</t>
  </si>
  <si>
    <t>Poland</t>
  </si>
  <si>
    <t>Colombia</t>
  </si>
  <si>
    <t>Greece</t>
  </si>
  <si>
    <t>Austria</t>
  </si>
  <si>
    <t>Portugal</t>
  </si>
  <si>
    <t>Ukraine</t>
  </si>
  <si>
    <t>Chile</t>
  </si>
  <si>
    <t>Malaysia</t>
  </si>
  <si>
    <t>Canada</t>
  </si>
  <si>
    <t>Belgium</t>
  </si>
  <si>
    <t>Israel</t>
  </si>
  <si>
    <t>DPRK</t>
  </si>
  <si>
    <t>Thailand</t>
  </si>
  <si>
    <t>Czechia</t>
  </si>
  <si>
    <t>Peru</t>
  </si>
  <si>
    <t>Switzerland</t>
  </si>
  <si>
    <t>Philippines</t>
  </si>
  <si>
    <t>South Africa</t>
  </si>
  <si>
    <t>Romania</t>
  </si>
  <si>
    <t>Denmark</t>
  </si>
  <si>
    <t>Singapore</t>
  </si>
  <si>
    <t>Hong Kong</t>
  </si>
  <si>
    <t>Sweden</t>
  </si>
  <si>
    <t>New Zealand</t>
  </si>
  <si>
    <t>Serbia</t>
  </si>
  <si>
    <t>Iraq</t>
  </si>
  <si>
    <t>Hungary</t>
  </si>
  <si>
    <t>Bangladesh</t>
  </si>
  <si>
    <t>Slovakia</t>
  </si>
  <si>
    <t>Georgia</t>
  </si>
  <si>
    <t>Jordan</t>
  </si>
  <si>
    <t>Ireland</t>
  </si>
  <si>
    <t>Pakistan</t>
  </si>
  <si>
    <t>Finland</t>
  </si>
  <si>
    <t>Norway</t>
  </si>
  <si>
    <t>Kazakhstan</t>
  </si>
  <si>
    <t>Lithuania</t>
  </si>
  <si>
    <t>Slovenia</t>
  </si>
  <si>
    <t>Bulgaria</t>
  </si>
  <si>
    <t>Croatia</t>
  </si>
  <si>
    <t>Guatemala</t>
  </si>
  <si>
    <t>Morocco</t>
  </si>
  <si>
    <t>Lebanon</t>
  </si>
  <si>
    <t>Costa Rica</t>
  </si>
  <si>
    <t>Bolivia</t>
  </si>
  <si>
    <t>Tunisia</t>
  </si>
  <si>
    <t>Cuba</t>
  </si>
  <si>
    <t>Ecuador</t>
  </si>
  <si>
    <t>UAE</t>
  </si>
  <si>
    <t>Panama</t>
  </si>
  <si>
    <t>Uruguay</t>
  </si>
  <si>
    <t>Mongolia</t>
  </si>
  <si>
    <t>Nepal</t>
  </si>
  <si>
    <t>Belarus</t>
  </si>
  <si>
    <t>Latvia</t>
  </si>
  <si>
    <t>Saudi Arabia</t>
  </si>
  <si>
    <t>Paraguay</t>
  </si>
  <si>
    <t>Azerbaijan</t>
  </si>
  <si>
    <t>Bahrain</t>
  </si>
  <si>
    <t>Cyprus</t>
  </si>
  <si>
    <t>Dominican Republic</t>
  </si>
  <si>
    <t>Sri Lanka</t>
  </si>
  <si>
    <t>Kuwait</t>
  </si>
  <si>
    <t>Myanmar</t>
  </si>
  <si>
    <t>Moldova</t>
  </si>
  <si>
    <t>Estonia</t>
  </si>
  <si>
    <t>Palestine</t>
  </si>
  <si>
    <t>Venezuela</t>
  </si>
  <si>
    <t>Egypt</t>
  </si>
  <si>
    <t>Qatar</t>
  </si>
  <si>
    <t>Libya</t>
  </si>
  <si>
    <t>China</t>
  </si>
  <si>
    <t>Ethiopia</t>
  </si>
  <si>
    <t>Réunion</t>
  </si>
  <si>
    <t>Honduras</t>
  </si>
  <si>
    <t>Armenia</t>
  </si>
  <si>
    <t>Bosnia and Herzegovina</t>
  </si>
  <si>
    <t>Oman</t>
  </si>
  <si>
    <t>Luxembourg</t>
  </si>
  <si>
    <t>North Macedonia</t>
  </si>
  <si>
    <t>Zambia</t>
  </si>
  <si>
    <t>Kenya</t>
  </si>
  <si>
    <t>Brunei</t>
  </si>
  <si>
    <t>Albania</t>
  </si>
  <si>
    <t>Botswana</t>
  </si>
  <si>
    <t>Montenegro</t>
  </si>
  <si>
    <t>Algeria</t>
  </si>
  <si>
    <t>Nigeria</t>
  </si>
  <si>
    <t>Zimbabwe</t>
  </si>
  <si>
    <t>Uzbekistan</t>
  </si>
  <si>
    <t>Afghanistan</t>
  </si>
  <si>
    <t>Mozambique</t>
  </si>
  <si>
    <t>Martinique</t>
  </si>
  <si>
    <t>Laos</t>
  </si>
  <si>
    <t>Iceland</t>
  </si>
  <si>
    <t>Kyrgyzstan</t>
  </si>
  <si>
    <t>Guadeloupe</t>
  </si>
  <si>
    <t>El Salvador</t>
  </si>
  <si>
    <t>Trinidad and Tobago</t>
  </si>
  <si>
    <t>Maldives</t>
  </si>
  <si>
    <t>Namibia</t>
  </si>
  <si>
    <t>Uganda</t>
  </si>
  <si>
    <t>Ghana</t>
  </si>
  <si>
    <t>Jamaica</t>
  </si>
  <si>
    <t>Cambodia</t>
  </si>
  <si>
    <t>Rwanda</t>
  </si>
  <si>
    <t>Cameroon</t>
  </si>
  <si>
    <t>Malta</t>
  </si>
  <si>
    <t>Barbados</t>
  </si>
  <si>
    <t>Angola</t>
  </si>
  <si>
    <t>Channel Islands</t>
  </si>
  <si>
    <t>DRC</t>
  </si>
  <si>
    <t>French Guiana</t>
  </si>
  <si>
    <t>Malawi</t>
  </si>
  <si>
    <t>Senegal</t>
  </si>
  <si>
    <t>Ivory Coast</t>
  </si>
  <si>
    <t>Suriname</t>
  </si>
  <si>
    <t>New Caledonia</t>
  </si>
  <si>
    <t>French Polynesia</t>
  </si>
  <si>
    <t>Eswatini</t>
  </si>
  <si>
    <t>Guyana</t>
  </si>
  <si>
    <t>Belize</t>
  </si>
  <si>
    <t>Fiji</t>
  </si>
  <si>
    <t>Madagascar</t>
  </si>
  <si>
    <t>Cabo Verde</t>
  </si>
  <si>
    <t>Sudan</t>
  </si>
  <si>
    <t>Mauritania</t>
  </si>
  <si>
    <t>Bhutan</t>
  </si>
  <si>
    <t>Syria</t>
  </si>
  <si>
    <t>Burundi</t>
  </si>
  <si>
    <t>Seychelles</t>
  </si>
  <si>
    <t>Gabon</t>
  </si>
  <si>
    <t>Andorra</t>
  </si>
  <si>
    <t>Papua New Guinea</t>
  </si>
  <si>
    <t>Curaçao</t>
  </si>
  <si>
    <t>Aruba</t>
  </si>
  <si>
    <t>Tanzania</t>
  </si>
  <si>
    <t>Mauritius</t>
  </si>
  <si>
    <t>Mayotte</t>
  </si>
  <si>
    <t>Togo</t>
  </si>
  <si>
    <t>Guinea</t>
  </si>
  <si>
    <t>Bahamas</t>
  </si>
  <si>
    <t>Isle of Man</t>
  </si>
  <si>
    <t>Lesotho</t>
  </si>
  <si>
    <t>Haiti</t>
  </si>
  <si>
    <t>Faeroe Islands</t>
  </si>
  <si>
    <t>Mali</t>
  </si>
  <si>
    <t>Cayman Islands</t>
  </si>
  <si>
    <t>Saint Lucia</t>
  </si>
  <si>
    <t>Benin</t>
  </si>
  <si>
    <t>Macao</t>
  </si>
  <si>
    <t>Somalia</t>
  </si>
  <si>
    <t>Micronesia</t>
  </si>
  <si>
    <t>San Marino</t>
  </si>
  <si>
    <t>Solomon Islands</t>
  </si>
  <si>
    <t>Congo</t>
  </si>
  <si>
    <t>Timor-Leste</t>
  </si>
  <si>
    <t>Burkina Faso</t>
  </si>
  <si>
    <t>Liechtenstein</t>
  </si>
  <si>
    <t>Gibraltar</t>
  </si>
  <si>
    <t>Grenada</t>
  </si>
  <si>
    <t>Bermuda</t>
  </si>
  <si>
    <t>South Sudan</t>
  </si>
  <si>
    <t>Nicaragua</t>
  </si>
  <si>
    <t>Tajikistan</t>
  </si>
  <si>
    <t>Equatorial Guinea</t>
  </si>
  <si>
    <t>Monaco</t>
  </si>
  <si>
    <t>Samoa</t>
  </si>
  <si>
    <t>Tonga</t>
  </si>
  <si>
    <t>Marshall Islands</t>
  </si>
  <si>
    <t>Dominica</t>
  </si>
  <si>
    <t>Djibouti</t>
  </si>
  <si>
    <t>CAR</t>
  </si>
  <si>
    <t>Gambia</t>
  </si>
  <si>
    <t>Saint Martin</t>
  </si>
  <si>
    <t>Vanuatu</t>
  </si>
  <si>
    <t>Greenland</t>
  </si>
  <si>
    <t>Yemen</t>
  </si>
  <si>
    <t>Caribbean Netherlands</t>
  </si>
  <si>
    <t>Sint Maarten</t>
  </si>
  <si>
    <t>Eritrea</t>
  </si>
  <si>
    <t>Niger</t>
  </si>
  <si>
    <t>St. Vincent Grenadines</t>
  </si>
  <si>
    <t>Guinea-Bissau</t>
  </si>
  <si>
    <t>Comoros</t>
  </si>
  <si>
    <t>Antigua and Barbuda</t>
  </si>
  <si>
    <t>Liberia</t>
  </si>
  <si>
    <t>Sierra Leone</t>
  </si>
  <si>
    <t>Chad</t>
  </si>
  <si>
    <t>British Virgin Islands</t>
  </si>
  <si>
    <t>Cook Islands</t>
  </si>
  <si>
    <t>Sao Tome and Principe</t>
  </si>
  <si>
    <t>Turks and Caicos</t>
  </si>
  <si>
    <t>Saint Kitts and Nevis</t>
  </si>
  <si>
    <t>Palau</t>
  </si>
  <si>
    <t>St. Barth</t>
  </si>
  <si>
    <t>Nauru</t>
  </si>
  <si>
    <t>Kiribati</t>
  </si>
  <si>
    <t>Anguilla</t>
  </si>
  <si>
    <t>Wallis and Futuna</t>
  </si>
  <si>
    <t>Saint Pierre Miquelon</t>
  </si>
  <si>
    <t>Tuvalu</t>
  </si>
  <si>
    <t>Saint Helena</t>
  </si>
  <si>
    <t>Falkland Islands</t>
  </si>
  <si>
    <t>Montserrat</t>
  </si>
  <si>
    <t>Niue</t>
  </si>
  <si>
    <t>Diamond Princess</t>
  </si>
  <si>
    <t>Tokelau</t>
  </si>
  <si>
    <t>Vatican City</t>
  </si>
  <si>
    <t>Western Sahara</t>
  </si>
  <si>
    <t>MS Zaandam</t>
  </si>
  <si>
    <t>Country</t>
  </si>
  <si>
    <t>Continent</t>
  </si>
  <si>
    <t>North America</t>
  </si>
  <si>
    <t>Asia</t>
  </si>
  <si>
    <t>Europe</t>
  </si>
  <si>
    <t>South America</t>
  </si>
  <si>
    <t>Asia/Europe</t>
  </si>
  <si>
    <t>Oceania</t>
  </si>
  <si>
    <t>Africa</t>
  </si>
  <si>
    <t>Africa/Asia</t>
  </si>
  <si>
    <t>Deaths/ 1M pop</t>
  </si>
  <si>
    <t>Not Reported</t>
  </si>
  <si>
    <t>Data Varies</t>
  </si>
  <si>
    <t>Data Very Low</t>
  </si>
  <si>
    <t>S.No</t>
  </si>
  <si>
    <t>GDP Loss</t>
  </si>
  <si>
    <t>Medical Spending</t>
  </si>
  <si>
    <t>Vaccination Rate</t>
  </si>
  <si>
    <t>Survival Rate</t>
  </si>
  <si>
    <t>Non-Infection Rate</t>
  </si>
  <si>
    <t>Infection ratio</t>
  </si>
  <si>
    <t>Defense Level</t>
  </si>
  <si>
    <t>Bad</t>
  </si>
  <si>
    <t>Good</t>
  </si>
  <si>
    <t>Excellent</t>
  </si>
  <si>
    <t>null</t>
  </si>
  <si>
    <t>null (Ship)</t>
  </si>
  <si>
    <t>null (City-State)</t>
  </si>
  <si>
    <t>~1</t>
  </si>
  <si>
    <t>Cases</t>
  </si>
  <si>
    <t>Deaths</t>
  </si>
  <si>
    <t>Recovered</t>
  </si>
  <si>
    <t>Total Cases/ 1M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</si>
</sst>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DC72-E5AD-4E32-ADDE-2A3CF659E338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C65A-B5CA-4DE2-AF4F-EB7E460E1E58}">
  <dimension ref="A1:P999"/>
  <sheetViews>
    <sheetView tabSelected="1" zoomScale="93" workbookViewId="0">
      <selection activeCell="P1" sqref="P1"/>
    </sheetView>
  </sheetViews>
  <sheetFormatPr defaultRowHeight="14.4" x14ac:dyDescent="0.3"/>
  <cols>
    <col min="1" max="1" width="9.88671875" bestFit="1" customWidth="1"/>
    <col min="2" max="2" width="14.88671875" bestFit="1" customWidth="1"/>
    <col min="3" max="3" width="22.44140625" bestFit="1" customWidth="1"/>
    <col min="4" max="4" width="16.5546875" bestFit="1" customWidth="1"/>
    <col min="5" max="5" width="16.44140625" bestFit="1" customWidth="1"/>
    <col min="6" max="6" width="19.77734375" bestFit="1" customWidth="1"/>
    <col min="7" max="7" width="22.77734375" bestFit="1" customWidth="1"/>
    <col min="8" max="8" width="20.109375" bestFit="1" customWidth="1"/>
    <col min="9" max="9" width="15.77734375" bestFit="1" customWidth="1"/>
    <col min="10" max="10" width="15" bestFit="1" customWidth="1"/>
    <col min="11" max="11" width="14.6640625" bestFit="1" customWidth="1"/>
    <col min="12" max="12" width="14.44140625" bestFit="1" customWidth="1"/>
    <col min="13" max="13" width="14.5546875" customWidth="1"/>
    <col min="14" max="14" width="18.109375" bestFit="1" customWidth="1"/>
    <col min="15" max="15" width="13.109375" bestFit="1" customWidth="1"/>
    <col min="16" max="16" width="9.109375" bestFit="1" customWidth="1"/>
  </cols>
  <sheetData>
    <row r="1" spans="1:16" ht="26.4" x14ac:dyDescent="0.3">
      <c r="A1" s="3" t="s">
        <v>246</v>
      </c>
      <c r="B1" s="4" t="s">
        <v>233</v>
      </c>
      <c r="C1" s="4" t="s">
        <v>232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242</v>
      </c>
      <c r="I1" s="4" t="s">
        <v>0</v>
      </c>
      <c r="J1" s="4" t="s">
        <v>247</v>
      </c>
      <c r="K1" s="4" t="s">
        <v>248</v>
      </c>
      <c r="L1" s="4" t="s">
        <v>249</v>
      </c>
      <c r="M1" s="4" t="s">
        <v>250</v>
      </c>
      <c r="N1" s="5" t="s">
        <v>251</v>
      </c>
      <c r="O1" s="4" t="s">
        <v>252</v>
      </c>
      <c r="P1" s="4" t="s">
        <v>253</v>
      </c>
    </row>
    <row r="2" spans="1:16" x14ac:dyDescent="0.3">
      <c r="A2" s="6">
        <v>1</v>
      </c>
      <c r="B2" s="6" t="s">
        <v>234</v>
      </c>
      <c r="C2" s="6" t="s">
        <v>1</v>
      </c>
      <c r="D2" s="7">
        <v>111820082</v>
      </c>
      <c r="E2" s="7">
        <v>1219487</v>
      </c>
      <c r="F2" s="7">
        <v>109814428</v>
      </c>
      <c r="G2" s="7">
        <v>333985</v>
      </c>
      <c r="H2" s="7">
        <v>3642</v>
      </c>
      <c r="I2" s="7">
        <v>334805269</v>
      </c>
      <c r="J2" s="8">
        <v>-2.8000000000000001E-2</v>
      </c>
      <c r="K2" s="8">
        <v>0.17499999999999999</v>
      </c>
      <c r="L2" s="8">
        <v>0.79120000000000001</v>
      </c>
      <c r="M2" s="8">
        <v>0.98909999999999998</v>
      </c>
      <c r="N2" s="8">
        <v>0.66590000000000005</v>
      </c>
      <c r="O2" s="9">
        <f>D2/I2</f>
        <v>0.3339854307967895</v>
      </c>
      <c r="P2" s="11" t="s">
        <v>254</v>
      </c>
    </row>
    <row r="3" spans="1:16" x14ac:dyDescent="0.3">
      <c r="A3" s="6">
        <v>2</v>
      </c>
      <c r="B3" s="6" t="s">
        <v>235</v>
      </c>
      <c r="C3" s="6" t="s">
        <v>2</v>
      </c>
      <c r="D3" s="7">
        <v>45035393</v>
      </c>
      <c r="E3" s="7">
        <v>533570</v>
      </c>
      <c r="F3" s="7">
        <v>44501823</v>
      </c>
      <c r="G3" s="7">
        <v>32016</v>
      </c>
      <c r="H3" s="6">
        <v>379</v>
      </c>
      <c r="I3" s="7">
        <v>1406631776</v>
      </c>
      <c r="J3" s="8">
        <v>-5.8000000000000003E-2</v>
      </c>
      <c r="K3" s="8">
        <v>3.3000000000000002E-2</v>
      </c>
      <c r="L3" s="8">
        <v>0.7208</v>
      </c>
      <c r="M3" s="8">
        <v>0.98809999999999998</v>
      </c>
      <c r="N3" s="8">
        <v>0.96799999999999997</v>
      </c>
      <c r="O3" s="9">
        <f t="shared" ref="O3:O66" si="0">D3/I3</f>
        <v>3.2016476357491302E-2</v>
      </c>
      <c r="P3" s="11" t="s">
        <v>255</v>
      </c>
    </row>
    <row r="4" spans="1:16" ht="14.4" customHeight="1" x14ac:dyDescent="0.3">
      <c r="A4" s="6">
        <v>3</v>
      </c>
      <c r="B4" s="6" t="s">
        <v>236</v>
      </c>
      <c r="C4" s="6" t="s">
        <v>3</v>
      </c>
      <c r="D4" s="7">
        <v>40138560</v>
      </c>
      <c r="E4" s="7">
        <v>167642</v>
      </c>
      <c r="F4" s="7">
        <v>39970918</v>
      </c>
      <c r="G4" s="7">
        <v>612013</v>
      </c>
      <c r="H4" s="7">
        <v>2556</v>
      </c>
      <c r="I4" s="7">
        <v>65584518</v>
      </c>
      <c r="J4" s="8">
        <v>-7.6999999999999999E-2</v>
      </c>
      <c r="K4" s="8">
        <v>0.123</v>
      </c>
      <c r="L4" s="8">
        <v>0.82499999999999996</v>
      </c>
      <c r="M4" s="8">
        <v>0.99580000000000002</v>
      </c>
      <c r="N4" s="8">
        <v>0.38800000000000001</v>
      </c>
      <c r="O4" s="9">
        <f t="shared" si="0"/>
        <v>0.61201273141932677</v>
      </c>
      <c r="P4" s="11" t="s">
        <v>254</v>
      </c>
    </row>
    <row r="5" spans="1:16" ht="14.4" customHeight="1" x14ac:dyDescent="0.3">
      <c r="A5" s="6">
        <v>4</v>
      </c>
      <c r="B5" s="6" t="s">
        <v>236</v>
      </c>
      <c r="C5" s="6" t="s">
        <v>4</v>
      </c>
      <c r="D5" s="7">
        <v>38828995</v>
      </c>
      <c r="E5" s="7">
        <v>183027</v>
      </c>
      <c r="F5" s="7">
        <v>38240600</v>
      </c>
      <c r="G5" s="7">
        <v>462891</v>
      </c>
      <c r="H5" s="7">
        <v>2182</v>
      </c>
      <c r="I5" s="7">
        <v>83883596</v>
      </c>
      <c r="J5" s="8">
        <v>-3.7999999999999999E-2</v>
      </c>
      <c r="K5" s="8">
        <v>0.129</v>
      </c>
      <c r="L5" s="8">
        <v>0.77149999999999996</v>
      </c>
      <c r="M5" s="8">
        <v>0.99529999999999996</v>
      </c>
      <c r="N5" s="8">
        <v>0.53600000000000003</v>
      </c>
      <c r="O5" s="9">
        <f t="shared" si="0"/>
        <v>0.46289139774122223</v>
      </c>
      <c r="P5" s="11" t="s">
        <v>254</v>
      </c>
    </row>
    <row r="6" spans="1:16" ht="14.4" customHeight="1" x14ac:dyDescent="0.3">
      <c r="A6" s="6">
        <v>5</v>
      </c>
      <c r="B6" s="6" t="s">
        <v>237</v>
      </c>
      <c r="C6" s="6" t="s">
        <v>5</v>
      </c>
      <c r="D6" s="7">
        <v>38743918</v>
      </c>
      <c r="E6" s="7">
        <v>711380</v>
      </c>
      <c r="F6" s="7">
        <v>36249161</v>
      </c>
      <c r="G6" s="7">
        <v>179908</v>
      </c>
      <c r="H6" s="7">
        <v>3303</v>
      </c>
      <c r="I6" s="7">
        <v>215353593</v>
      </c>
      <c r="J6" s="8">
        <v>-3.3000000000000002E-2</v>
      </c>
      <c r="K6" s="8">
        <v>9.7000000000000003E-2</v>
      </c>
      <c r="L6" s="8">
        <v>0.90169999999999995</v>
      </c>
      <c r="M6" s="8">
        <v>0.98160000000000003</v>
      </c>
      <c r="N6" s="8">
        <v>0.82</v>
      </c>
      <c r="O6" s="9">
        <f t="shared" si="0"/>
        <v>0.17990838908362211</v>
      </c>
      <c r="P6" s="11" t="s">
        <v>254</v>
      </c>
    </row>
    <row r="7" spans="1:16" ht="14.4" customHeight="1" x14ac:dyDescent="0.3">
      <c r="A7" s="6">
        <v>6</v>
      </c>
      <c r="B7" s="6" t="s">
        <v>235</v>
      </c>
      <c r="C7" s="6" t="s">
        <v>6</v>
      </c>
      <c r="D7" s="7">
        <v>34571873</v>
      </c>
      <c r="E7" s="7">
        <v>35934</v>
      </c>
      <c r="F7" s="7">
        <v>34535939</v>
      </c>
      <c r="G7" s="7">
        <v>673523</v>
      </c>
      <c r="H7" s="6">
        <v>700</v>
      </c>
      <c r="I7" s="7">
        <v>51329899</v>
      </c>
      <c r="J7" s="8">
        <v>-7.0000000000000001E-3</v>
      </c>
      <c r="K7" s="8">
        <v>0.09</v>
      </c>
      <c r="L7" s="8">
        <v>0.86450000000000005</v>
      </c>
      <c r="M7" s="8">
        <v>0.999</v>
      </c>
      <c r="N7" s="8">
        <v>0.32650000000000001</v>
      </c>
      <c r="O7" s="9">
        <f t="shared" si="0"/>
        <v>0.67352310589974085</v>
      </c>
      <c r="P7" s="11" t="s">
        <v>255</v>
      </c>
    </row>
    <row r="8" spans="1:16" x14ac:dyDescent="0.3">
      <c r="A8" s="6">
        <v>7</v>
      </c>
      <c r="B8" s="6" t="s">
        <v>235</v>
      </c>
      <c r="C8" s="6" t="s">
        <v>7</v>
      </c>
      <c r="D8" s="7">
        <v>33803572</v>
      </c>
      <c r="E8" s="7">
        <v>74694</v>
      </c>
      <c r="F8" s="7">
        <v>33728878</v>
      </c>
      <c r="G8" s="7">
        <v>269169</v>
      </c>
      <c r="H8" s="6">
        <v>595</v>
      </c>
      <c r="I8" s="7">
        <v>125584838</v>
      </c>
      <c r="J8" s="8">
        <v>-4.1000000000000002E-2</v>
      </c>
      <c r="K8" s="8">
        <v>0.112</v>
      </c>
      <c r="L8" s="8">
        <v>0.83789999999999998</v>
      </c>
      <c r="M8" s="8">
        <v>0.99780000000000002</v>
      </c>
      <c r="N8" s="8">
        <v>0.73180000000000001</v>
      </c>
      <c r="O8" s="9">
        <f t="shared" si="0"/>
        <v>0.26916921292680251</v>
      </c>
      <c r="P8" s="11" t="s">
        <v>255</v>
      </c>
    </row>
    <row r="9" spans="1:16" ht="14.4" customHeight="1" x14ac:dyDescent="0.3">
      <c r="A9" s="6">
        <v>8</v>
      </c>
      <c r="B9" s="6" t="s">
        <v>236</v>
      </c>
      <c r="C9" s="6" t="s">
        <v>8</v>
      </c>
      <c r="D9" s="7">
        <v>26723249</v>
      </c>
      <c r="E9" s="7">
        <v>196487</v>
      </c>
      <c r="F9" s="7">
        <v>26361218</v>
      </c>
      <c r="G9" s="7">
        <v>443445</v>
      </c>
      <c r="H9" s="7">
        <v>3261</v>
      </c>
      <c r="I9" s="7">
        <v>60262770</v>
      </c>
      <c r="J9" s="8">
        <v>-0.09</v>
      </c>
      <c r="K9" s="8">
        <v>9.2999999999999999E-2</v>
      </c>
      <c r="L9" s="8">
        <v>0.85440000000000005</v>
      </c>
      <c r="M9" s="8">
        <v>0.99270000000000003</v>
      </c>
      <c r="N9" s="8">
        <v>0.55789999999999995</v>
      </c>
      <c r="O9" s="9">
        <f t="shared" si="0"/>
        <v>0.44344541414209804</v>
      </c>
      <c r="P9" s="11" t="s">
        <v>254</v>
      </c>
    </row>
    <row r="10" spans="1:16" ht="14.4" customHeight="1" x14ac:dyDescent="0.3">
      <c r="A10" s="6">
        <v>9</v>
      </c>
      <c r="B10" s="6" t="s">
        <v>236</v>
      </c>
      <c r="C10" s="6" t="s">
        <v>9</v>
      </c>
      <c r="D10" s="7">
        <v>24910387</v>
      </c>
      <c r="E10" s="7">
        <v>232112</v>
      </c>
      <c r="F10" s="7">
        <v>24678275</v>
      </c>
      <c r="G10" s="7">
        <v>363666</v>
      </c>
      <c r="H10" s="7">
        <v>3389</v>
      </c>
      <c r="I10" s="7">
        <v>68497907</v>
      </c>
      <c r="J10" s="8">
        <v>-0.11</v>
      </c>
      <c r="K10" s="8">
        <v>0.12</v>
      </c>
      <c r="L10" s="8">
        <v>0.78920000000000001</v>
      </c>
      <c r="M10" s="8">
        <v>0.99070000000000003</v>
      </c>
      <c r="N10" s="8">
        <v>0.63629999999999998</v>
      </c>
      <c r="O10" s="9">
        <f t="shared" si="0"/>
        <v>0.36366639640536752</v>
      </c>
      <c r="P10" s="11" t="s">
        <v>254</v>
      </c>
    </row>
    <row r="11" spans="1:16" ht="14.4" customHeight="1" x14ac:dyDescent="0.3">
      <c r="A11" s="6">
        <v>10</v>
      </c>
      <c r="B11" s="6" t="s">
        <v>238</v>
      </c>
      <c r="C11" s="6" t="s">
        <v>10</v>
      </c>
      <c r="D11" s="7">
        <v>24124215</v>
      </c>
      <c r="E11" s="7">
        <v>402756</v>
      </c>
      <c r="F11" s="7">
        <v>23545818</v>
      </c>
      <c r="G11" s="7">
        <v>165454</v>
      </c>
      <c r="H11" s="7">
        <v>2762</v>
      </c>
      <c r="I11" s="7">
        <v>145805947</v>
      </c>
      <c r="J11" s="8">
        <v>-2.7E-2</v>
      </c>
      <c r="K11" s="8">
        <v>7.0999999999999994E-2</v>
      </c>
      <c r="L11" s="8">
        <v>0.6119</v>
      </c>
      <c r="M11" s="8">
        <v>0.98329999999999995</v>
      </c>
      <c r="N11" s="8">
        <v>0.8347</v>
      </c>
      <c r="O11" s="9">
        <f t="shared" si="0"/>
        <v>0.16545425955773943</v>
      </c>
      <c r="P11" s="11" t="s">
        <v>254</v>
      </c>
    </row>
    <row r="12" spans="1:16" x14ac:dyDescent="0.3">
      <c r="A12" s="6">
        <v>11</v>
      </c>
      <c r="B12" s="6" t="s">
        <v>238</v>
      </c>
      <c r="C12" s="6" t="s">
        <v>11</v>
      </c>
      <c r="D12" s="7">
        <v>17232066</v>
      </c>
      <c r="E12" s="7">
        <v>102174</v>
      </c>
      <c r="F12" s="7">
        <v>17129892</v>
      </c>
      <c r="G12" s="7">
        <v>201399</v>
      </c>
      <c r="H12" s="7">
        <v>1194</v>
      </c>
      <c r="I12" s="7">
        <v>85561976</v>
      </c>
      <c r="J12" s="8">
        <v>1.7999999999999999E-2</v>
      </c>
      <c r="K12" s="8">
        <v>4.5999999999999999E-2</v>
      </c>
      <c r="L12" s="8">
        <v>0.66549999999999998</v>
      </c>
      <c r="M12" s="8">
        <v>0.99409999999999998</v>
      </c>
      <c r="N12" s="8">
        <v>0.79859999999999998</v>
      </c>
      <c r="O12" s="9">
        <f t="shared" si="0"/>
        <v>0.20139864465028251</v>
      </c>
      <c r="P12" s="11" t="s">
        <v>254</v>
      </c>
    </row>
    <row r="13" spans="1:16" ht="14.4" customHeight="1" x14ac:dyDescent="0.3">
      <c r="A13" s="6">
        <v>12</v>
      </c>
      <c r="B13" s="6" t="s">
        <v>236</v>
      </c>
      <c r="C13" s="6" t="s">
        <v>12</v>
      </c>
      <c r="D13" s="7">
        <v>13914811</v>
      </c>
      <c r="E13" s="7">
        <v>121760</v>
      </c>
      <c r="F13" s="7">
        <v>13762417</v>
      </c>
      <c r="G13" s="7">
        <v>297840</v>
      </c>
      <c r="H13" s="7">
        <v>2606</v>
      </c>
      <c r="I13" s="7">
        <v>46719142</v>
      </c>
      <c r="J13" s="8">
        <v>-0.108</v>
      </c>
      <c r="K13" s="8">
        <v>0.10299999999999999</v>
      </c>
      <c r="L13" s="8">
        <v>0.86460000000000004</v>
      </c>
      <c r="M13" s="8">
        <v>0.99119999999999997</v>
      </c>
      <c r="N13" s="8">
        <v>0.70209999999999995</v>
      </c>
      <c r="O13" s="9">
        <f t="shared" si="0"/>
        <v>0.29783960929761938</v>
      </c>
      <c r="P13" s="11" t="s">
        <v>254</v>
      </c>
    </row>
    <row r="14" spans="1:16" ht="14.4" customHeight="1" x14ac:dyDescent="0.3">
      <c r="A14" s="6">
        <v>13</v>
      </c>
      <c r="B14" s="6" t="s">
        <v>239</v>
      </c>
      <c r="C14" s="6" t="s">
        <v>13</v>
      </c>
      <c r="D14" s="7">
        <v>11853144</v>
      </c>
      <c r="E14" s="7">
        <v>24414</v>
      </c>
      <c r="F14" s="7">
        <v>11820014</v>
      </c>
      <c r="G14" s="7">
        <v>454687</v>
      </c>
      <c r="H14" s="6">
        <v>937</v>
      </c>
      <c r="I14" s="7">
        <v>26068792</v>
      </c>
      <c r="J14" s="8">
        <v>2E-3</v>
      </c>
      <c r="K14" s="8">
        <v>0.104</v>
      </c>
      <c r="L14" s="8">
        <v>0.84850000000000003</v>
      </c>
      <c r="M14" s="8">
        <v>0.998</v>
      </c>
      <c r="N14" s="8">
        <v>0.54690000000000005</v>
      </c>
      <c r="O14" s="9">
        <f t="shared" si="0"/>
        <v>0.45468712167406911</v>
      </c>
      <c r="P14" s="11" t="s">
        <v>254</v>
      </c>
    </row>
    <row r="15" spans="1:16" x14ac:dyDescent="0.3">
      <c r="A15" s="6">
        <v>14</v>
      </c>
      <c r="B15" s="6" t="s">
        <v>235</v>
      </c>
      <c r="C15" s="6" t="s">
        <v>14</v>
      </c>
      <c r="D15" s="7">
        <v>11625195</v>
      </c>
      <c r="E15" s="7">
        <v>43206</v>
      </c>
      <c r="F15" s="7">
        <v>10640971</v>
      </c>
      <c r="G15" s="7">
        <v>117481</v>
      </c>
      <c r="H15" s="6">
        <v>437</v>
      </c>
      <c r="I15" s="7">
        <v>98953541</v>
      </c>
      <c r="J15" s="8">
        <v>2.9000000000000001E-2</v>
      </c>
      <c r="K15" s="8">
        <v>5.0999999999999997E-2</v>
      </c>
      <c r="L15" s="8">
        <v>0.90790000000000004</v>
      </c>
      <c r="M15" s="8">
        <v>0.99629999999999996</v>
      </c>
      <c r="N15" s="8">
        <v>0.88249999999999995</v>
      </c>
      <c r="O15" s="9">
        <f t="shared" si="0"/>
        <v>0.11748134409864119</v>
      </c>
      <c r="P15" s="11" t="s">
        <v>255</v>
      </c>
    </row>
    <row r="16" spans="1:16" x14ac:dyDescent="0.3">
      <c r="A16" s="6">
        <v>15</v>
      </c>
      <c r="B16" s="6" t="s">
        <v>235</v>
      </c>
      <c r="C16" s="6" t="s">
        <v>15</v>
      </c>
      <c r="D16" s="7">
        <v>10241523</v>
      </c>
      <c r="E16" s="7">
        <v>19005</v>
      </c>
      <c r="F16" s="7">
        <v>10222518</v>
      </c>
      <c r="G16" s="7">
        <v>428720</v>
      </c>
      <c r="H16" s="6">
        <v>796</v>
      </c>
      <c r="I16" s="7">
        <v>23888595</v>
      </c>
      <c r="J16" s="8">
        <v>3.1E-2</v>
      </c>
      <c r="K16" s="8">
        <v>6.5000000000000002E-2</v>
      </c>
      <c r="L16" s="8">
        <v>0.93510000000000004</v>
      </c>
      <c r="M16" s="8">
        <v>0.99809999999999999</v>
      </c>
      <c r="N16" s="8">
        <v>0.57120000000000004</v>
      </c>
      <c r="O16" s="9">
        <f t="shared" si="0"/>
        <v>0.42872019053443705</v>
      </c>
      <c r="P16" s="11" t="s">
        <v>255</v>
      </c>
    </row>
    <row r="17" spans="1:16" x14ac:dyDescent="0.3">
      <c r="A17" s="6">
        <v>16</v>
      </c>
      <c r="B17" s="6" t="s">
        <v>237</v>
      </c>
      <c r="C17" s="6" t="s">
        <v>16</v>
      </c>
      <c r="D17" s="7">
        <v>10128845</v>
      </c>
      <c r="E17" s="7">
        <v>130841</v>
      </c>
      <c r="F17" s="7">
        <v>9997258</v>
      </c>
      <c r="G17" s="7">
        <v>220143</v>
      </c>
      <c r="H17" s="7">
        <v>2844</v>
      </c>
      <c r="I17" s="7">
        <v>46010234</v>
      </c>
      <c r="J17" s="8">
        <v>-9.9000000000000005E-2</v>
      </c>
      <c r="K17" s="8">
        <v>0.1</v>
      </c>
      <c r="L17" s="8">
        <v>0.91459999999999997</v>
      </c>
      <c r="M17" s="8">
        <v>0.98709999999999998</v>
      </c>
      <c r="N17" s="8">
        <v>0.77980000000000005</v>
      </c>
      <c r="O17" s="9">
        <f t="shared" si="0"/>
        <v>0.22014330550894395</v>
      </c>
      <c r="P17" s="11" t="s">
        <v>254</v>
      </c>
    </row>
    <row r="18" spans="1:16" x14ac:dyDescent="0.3">
      <c r="A18" s="6">
        <v>17</v>
      </c>
      <c r="B18" s="6" t="s">
        <v>236</v>
      </c>
      <c r="C18" s="6" t="s">
        <v>17</v>
      </c>
      <c r="D18" s="7">
        <v>8635786</v>
      </c>
      <c r="E18" s="7">
        <v>22992</v>
      </c>
      <c r="F18" s="7">
        <v>8612599</v>
      </c>
      <c r="G18" s="7">
        <v>501747</v>
      </c>
      <c r="H18" s="7">
        <v>1336</v>
      </c>
      <c r="I18" s="7">
        <v>17211447</v>
      </c>
      <c r="J18" s="8">
        <v>-3.7999999999999999E-2</v>
      </c>
      <c r="K18" s="8">
        <v>0.111</v>
      </c>
      <c r="L18" s="8">
        <v>0.70269999999999999</v>
      </c>
      <c r="M18" s="8">
        <v>0.99729999999999996</v>
      </c>
      <c r="N18" s="8">
        <v>0.49819999999999998</v>
      </c>
      <c r="O18" s="9">
        <f t="shared" si="0"/>
        <v>0.50174665732637125</v>
      </c>
      <c r="P18" s="11" t="s">
        <v>254</v>
      </c>
    </row>
    <row r="19" spans="1:16" x14ac:dyDescent="0.3">
      <c r="A19" s="6">
        <v>18</v>
      </c>
      <c r="B19" s="6" t="s">
        <v>234</v>
      </c>
      <c r="C19" s="6" t="s">
        <v>18</v>
      </c>
      <c r="D19" s="7">
        <v>7702809</v>
      </c>
      <c r="E19" s="7">
        <v>334958</v>
      </c>
      <c r="F19" s="7">
        <v>6899865</v>
      </c>
      <c r="G19" s="7">
        <v>58549</v>
      </c>
      <c r="H19" s="7">
        <v>2546</v>
      </c>
      <c r="I19" s="7">
        <v>131562772</v>
      </c>
      <c r="J19" s="8">
        <v>-0.08</v>
      </c>
      <c r="K19" s="8">
        <v>5.8999999999999997E-2</v>
      </c>
      <c r="L19" s="8">
        <v>0.75560000000000005</v>
      </c>
      <c r="M19" s="8">
        <v>0.95650000000000002</v>
      </c>
      <c r="N19" s="8">
        <v>0.94140000000000001</v>
      </c>
      <c r="O19" s="9">
        <f t="shared" si="0"/>
        <v>5.8548545936687929E-2</v>
      </c>
      <c r="P19" s="11" t="s">
        <v>254</v>
      </c>
    </row>
    <row r="20" spans="1:16" x14ac:dyDescent="0.3">
      <c r="A20" s="6">
        <v>19</v>
      </c>
      <c r="B20" s="6" t="s">
        <v>235</v>
      </c>
      <c r="C20" s="6" t="s">
        <v>19</v>
      </c>
      <c r="D20" s="7">
        <v>7627186</v>
      </c>
      <c r="E20" s="7">
        <v>146811</v>
      </c>
      <c r="F20" s="7">
        <v>7480375</v>
      </c>
      <c r="G20" s="7">
        <v>88665</v>
      </c>
      <c r="H20" s="7">
        <v>1707</v>
      </c>
      <c r="I20" s="7">
        <v>86022837</v>
      </c>
      <c r="J20" s="8">
        <v>0.03</v>
      </c>
      <c r="K20" s="8">
        <v>8.5000000000000006E-2</v>
      </c>
      <c r="L20" s="8">
        <v>0.72829999999999995</v>
      </c>
      <c r="M20" s="8">
        <v>0.98070000000000002</v>
      </c>
      <c r="N20" s="8">
        <v>0.9113</v>
      </c>
      <c r="O20" s="9">
        <f t="shared" si="0"/>
        <v>8.8664664709907207E-2</v>
      </c>
      <c r="P20" s="11" t="s">
        <v>254</v>
      </c>
    </row>
    <row r="21" spans="1:16" x14ac:dyDescent="0.3">
      <c r="A21" s="6">
        <v>20</v>
      </c>
      <c r="B21" s="6" t="s">
        <v>235</v>
      </c>
      <c r="C21" s="6" t="s">
        <v>20</v>
      </c>
      <c r="D21" s="7">
        <v>6829221</v>
      </c>
      <c r="E21" s="7">
        <v>162063</v>
      </c>
      <c r="F21" s="7">
        <v>6647104</v>
      </c>
      <c r="G21" s="7">
        <v>24466</v>
      </c>
      <c r="H21" s="6">
        <v>581</v>
      </c>
      <c r="I21" s="7">
        <v>279134505</v>
      </c>
      <c r="J21" s="8">
        <v>-2.1000000000000001E-2</v>
      </c>
      <c r="K21" s="8">
        <v>3.6999999999999998E-2</v>
      </c>
      <c r="L21" s="8">
        <v>0.73309999999999997</v>
      </c>
      <c r="M21" s="8">
        <v>0.97619999999999996</v>
      </c>
      <c r="N21" s="8">
        <v>0.97560000000000002</v>
      </c>
      <c r="O21" s="9">
        <f t="shared" si="0"/>
        <v>2.446569978870939E-2</v>
      </c>
      <c r="P21" s="11" t="s">
        <v>255</v>
      </c>
    </row>
    <row r="22" spans="1:16" x14ac:dyDescent="0.3">
      <c r="A22" s="6">
        <v>21</v>
      </c>
      <c r="B22" s="6" t="s">
        <v>236</v>
      </c>
      <c r="C22" s="6" t="s">
        <v>21</v>
      </c>
      <c r="D22" s="7">
        <v>6661991</v>
      </c>
      <c r="E22" s="7">
        <v>120598</v>
      </c>
      <c r="F22" s="7">
        <v>6541393</v>
      </c>
      <c r="G22" s="7">
        <v>176524</v>
      </c>
      <c r="H22" s="7">
        <v>3196</v>
      </c>
      <c r="I22" s="7">
        <v>37739785</v>
      </c>
      <c r="J22" s="8">
        <v>-2.1999999999999999E-2</v>
      </c>
      <c r="K22" s="8">
        <v>6.4000000000000001E-2</v>
      </c>
      <c r="L22" s="8">
        <v>0.5988</v>
      </c>
      <c r="M22" s="8">
        <v>0.9819</v>
      </c>
      <c r="N22" s="8">
        <v>0.82350000000000001</v>
      </c>
      <c r="O22" s="9">
        <f t="shared" si="0"/>
        <v>0.17652434956902907</v>
      </c>
      <c r="P22" s="11" t="s">
        <v>254</v>
      </c>
    </row>
    <row r="23" spans="1:16" x14ac:dyDescent="0.3">
      <c r="A23" s="6">
        <v>22</v>
      </c>
      <c r="B23" s="6" t="s">
        <v>237</v>
      </c>
      <c r="C23" s="6" t="s">
        <v>22</v>
      </c>
      <c r="D23" s="7">
        <v>6400173</v>
      </c>
      <c r="E23" s="7">
        <v>143200</v>
      </c>
      <c r="F23" s="7">
        <v>6212152</v>
      </c>
      <c r="G23" s="7">
        <v>124244</v>
      </c>
      <c r="H23" s="7">
        <v>2780</v>
      </c>
      <c r="I23" s="7">
        <v>51512762</v>
      </c>
      <c r="J23" s="8">
        <v>-7.0000000000000007E-2</v>
      </c>
      <c r="K23" s="8">
        <v>0.09</v>
      </c>
      <c r="L23" s="8">
        <v>0.83130000000000004</v>
      </c>
      <c r="M23" s="8">
        <v>0.97760000000000002</v>
      </c>
      <c r="N23" s="8">
        <v>0.87580000000000002</v>
      </c>
      <c r="O23" s="9">
        <f t="shared" si="0"/>
        <v>0.12424441539360673</v>
      </c>
      <c r="P23" s="11" t="s">
        <v>254</v>
      </c>
    </row>
    <row r="24" spans="1:16" x14ac:dyDescent="0.3">
      <c r="A24" s="6">
        <v>23</v>
      </c>
      <c r="B24" s="6" t="s">
        <v>236</v>
      </c>
      <c r="C24" s="6" t="s">
        <v>23</v>
      </c>
      <c r="D24" s="7">
        <v>6101379</v>
      </c>
      <c r="E24" s="7">
        <v>37869</v>
      </c>
      <c r="F24" s="7">
        <v>6063510</v>
      </c>
      <c r="G24" s="7">
        <v>591412</v>
      </c>
      <c r="H24" s="7">
        <v>3671</v>
      </c>
      <c r="I24" s="7">
        <v>10316637</v>
      </c>
      <c r="J24" s="8">
        <v>-9.2999999999999999E-2</v>
      </c>
      <c r="K24" s="8">
        <v>9.1999999999999998E-2</v>
      </c>
      <c r="L24" s="8">
        <v>0.76239999999999997</v>
      </c>
      <c r="M24" s="8">
        <v>0.99380000000000002</v>
      </c>
      <c r="N24" s="8">
        <v>0.40860000000000002</v>
      </c>
      <c r="O24" s="9">
        <f t="shared" si="0"/>
        <v>0.59141161989124946</v>
      </c>
      <c r="P24" s="11" t="s">
        <v>254</v>
      </c>
    </row>
    <row r="25" spans="1:16" x14ac:dyDescent="0.3">
      <c r="A25" s="6">
        <v>24</v>
      </c>
      <c r="B25" s="6" t="s">
        <v>236</v>
      </c>
      <c r="C25" s="6" t="s">
        <v>24</v>
      </c>
      <c r="D25" s="7">
        <v>6081287</v>
      </c>
      <c r="E25" s="7">
        <v>22542</v>
      </c>
      <c r="F25" s="7">
        <v>6054934</v>
      </c>
      <c r="G25" s="7">
        <v>670727</v>
      </c>
      <c r="H25" s="7">
        <v>2486</v>
      </c>
      <c r="I25" s="7">
        <v>9066710</v>
      </c>
      <c r="J25" s="8">
        <v>-6.5000000000000002E-2</v>
      </c>
      <c r="K25" s="8">
        <v>0.122</v>
      </c>
      <c r="L25" s="8">
        <v>0.76119999999999999</v>
      </c>
      <c r="M25" s="8">
        <v>0.99629999999999996</v>
      </c>
      <c r="N25" s="8">
        <v>0.32929999999999998</v>
      </c>
      <c r="O25" s="9">
        <f t="shared" si="0"/>
        <v>0.67072697814311921</v>
      </c>
      <c r="P25" s="11" t="s">
        <v>254</v>
      </c>
    </row>
    <row r="26" spans="1:16" x14ac:dyDescent="0.3">
      <c r="A26" s="6">
        <v>25</v>
      </c>
      <c r="B26" s="6" t="s">
        <v>236</v>
      </c>
      <c r="C26" s="6" t="s">
        <v>25</v>
      </c>
      <c r="D26" s="7">
        <v>5643062</v>
      </c>
      <c r="E26" s="7">
        <v>28126</v>
      </c>
      <c r="F26" s="7">
        <v>5614809</v>
      </c>
      <c r="G26" s="7">
        <v>556484</v>
      </c>
      <c r="H26" s="7">
        <v>2774</v>
      </c>
      <c r="I26" s="7">
        <v>10140570</v>
      </c>
      <c r="J26" s="8">
        <v>-8.3000000000000004E-2</v>
      </c>
      <c r="K26" s="8">
        <v>0.111</v>
      </c>
      <c r="L26" s="8">
        <v>0.94279999999999997</v>
      </c>
      <c r="M26" s="8">
        <v>0.995</v>
      </c>
      <c r="N26" s="8">
        <v>0.44350000000000001</v>
      </c>
      <c r="O26" s="9">
        <f t="shared" si="0"/>
        <v>0.55648370850948226</v>
      </c>
      <c r="P26" s="11" t="s">
        <v>254</v>
      </c>
    </row>
    <row r="27" spans="1:16" x14ac:dyDescent="0.3">
      <c r="A27" s="6">
        <v>26</v>
      </c>
      <c r="B27" s="6" t="s">
        <v>236</v>
      </c>
      <c r="C27" s="6" t="s">
        <v>26</v>
      </c>
      <c r="D27" s="7">
        <v>5557995</v>
      </c>
      <c r="E27" s="7">
        <v>112418</v>
      </c>
      <c r="F27" s="7">
        <v>5445577</v>
      </c>
      <c r="G27" s="7">
        <v>128681</v>
      </c>
      <c r="H27" s="7">
        <v>2603</v>
      </c>
      <c r="I27" s="7">
        <v>43192122</v>
      </c>
      <c r="J27" s="8">
        <v>-3.7999999999999999E-2</v>
      </c>
      <c r="K27" s="8">
        <v>8.2000000000000003E-2</v>
      </c>
      <c r="L27" s="8">
        <v>0.39629999999999999</v>
      </c>
      <c r="M27" s="8">
        <v>0.9798</v>
      </c>
      <c r="N27" s="8">
        <v>0.87139999999999995</v>
      </c>
      <c r="O27" s="9">
        <f t="shared" si="0"/>
        <v>0.12868075803268011</v>
      </c>
      <c r="P27" s="11" t="s">
        <v>254</v>
      </c>
    </row>
    <row r="28" spans="1:16" x14ac:dyDescent="0.3">
      <c r="A28" s="6">
        <v>27</v>
      </c>
      <c r="B28" s="6" t="s">
        <v>237</v>
      </c>
      <c r="C28" s="6" t="s">
        <v>27</v>
      </c>
      <c r="D28" s="7">
        <v>5384853</v>
      </c>
      <c r="E28" s="7">
        <v>64497</v>
      </c>
      <c r="F28" s="7">
        <v>5252450</v>
      </c>
      <c r="G28" s="7">
        <v>279730</v>
      </c>
      <c r="H28" s="7">
        <v>3350</v>
      </c>
      <c r="I28" s="7">
        <v>19250195</v>
      </c>
      <c r="J28" s="8">
        <v>-6.2E-2</v>
      </c>
      <c r="K28" s="8">
        <v>9.7000000000000003E-2</v>
      </c>
      <c r="L28" s="8">
        <v>0.92510000000000003</v>
      </c>
      <c r="M28" s="8">
        <v>0.98799999999999999</v>
      </c>
      <c r="N28" s="8">
        <v>0.72030000000000005</v>
      </c>
      <c r="O28" s="9">
        <f t="shared" si="0"/>
        <v>0.27972978975018176</v>
      </c>
      <c r="P28" s="11" t="s">
        <v>254</v>
      </c>
    </row>
    <row r="29" spans="1:16" x14ac:dyDescent="0.3">
      <c r="A29" s="6">
        <v>28</v>
      </c>
      <c r="B29" s="6" t="s">
        <v>235</v>
      </c>
      <c r="C29" s="6" t="s">
        <v>28</v>
      </c>
      <c r="D29" s="7">
        <v>5278406</v>
      </c>
      <c r="E29" s="7">
        <v>37348</v>
      </c>
      <c r="F29" s="7">
        <v>5233268</v>
      </c>
      <c r="G29" s="7">
        <v>159079</v>
      </c>
      <c r="H29" s="7">
        <v>1126</v>
      </c>
      <c r="I29" s="7">
        <v>33181072</v>
      </c>
      <c r="J29" s="8">
        <v>-5.6000000000000001E-2</v>
      </c>
      <c r="K29" s="8">
        <v>4.2999999999999997E-2</v>
      </c>
      <c r="L29" s="8">
        <v>0.81100000000000005</v>
      </c>
      <c r="M29" s="8">
        <v>0.9929</v>
      </c>
      <c r="N29" s="8">
        <v>0.8407</v>
      </c>
      <c r="O29" s="9">
        <f t="shared" si="0"/>
        <v>0.15907882662742182</v>
      </c>
      <c r="P29" s="11" t="s">
        <v>254</v>
      </c>
    </row>
    <row r="30" spans="1:16" x14ac:dyDescent="0.3">
      <c r="A30" s="6">
        <v>29</v>
      </c>
      <c r="B30" s="6" t="s">
        <v>234</v>
      </c>
      <c r="C30" s="6" t="s">
        <v>29</v>
      </c>
      <c r="D30" s="7">
        <v>4946090</v>
      </c>
      <c r="E30" s="7">
        <v>59034</v>
      </c>
      <c r="F30" s="7">
        <v>4881312</v>
      </c>
      <c r="G30" s="7">
        <v>128843</v>
      </c>
      <c r="H30" s="7">
        <v>1538</v>
      </c>
      <c r="I30" s="7">
        <v>38388419</v>
      </c>
      <c r="J30" s="8">
        <v>-5.0999999999999997E-2</v>
      </c>
      <c r="K30" s="8">
        <v>0.124</v>
      </c>
      <c r="L30" s="8">
        <v>0.89490000000000003</v>
      </c>
      <c r="M30" s="8">
        <v>0.98809999999999998</v>
      </c>
      <c r="N30" s="8">
        <v>0.87109999999999999</v>
      </c>
      <c r="O30" s="9">
        <f t="shared" si="0"/>
        <v>0.12884328474168211</v>
      </c>
      <c r="P30" s="11" t="s">
        <v>254</v>
      </c>
    </row>
    <row r="31" spans="1:16" x14ac:dyDescent="0.3">
      <c r="A31" s="6">
        <v>30</v>
      </c>
      <c r="B31" s="6" t="s">
        <v>236</v>
      </c>
      <c r="C31" s="6" t="s">
        <v>30</v>
      </c>
      <c r="D31" s="7">
        <v>4861695</v>
      </c>
      <c r="E31" s="7">
        <v>34376</v>
      </c>
      <c r="F31" s="7">
        <v>4826798</v>
      </c>
      <c r="G31" s="7">
        <v>416659</v>
      </c>
      <c r="H31" s="7">
        <v>2946</v>
      </c>
      <c r="I31" s="7">
        <v>11668278</v>
      </c>
      <c r="J31" s="8">
        <v>-5.3999999999999999E-2</v>
      </c>
      <c r="K31" s="8">
        <v>0.111</v>
      </c>
      <c r="L31" s="8">
        <v>0.79549999999999998</v>
      </c>
      <c r="M31" s="8">
        <v>0.9929</v>
      </c>
      <c r="N31" s="8">
        <v>0.58340000000000003</v>
      </c>
      <c r="O31" s="9">
        <f t="shared" si="0"/>
        <v>0.41665916770238076</v>
      </c>
      <c r="P31" s="11" t="s">
        <v>254</v>
      </c>
    </row>
    <row r="32" spans="1:16" x14ac:dyDescent="0.3">
      <c r="A32" s="6">
        <v>31</v>
      </c>
      <c r="B32" s="6" t="s">
        <v>235</v>
      </c>
      <c r="C32" s="6" t="s">
        <v>31</v>
      </c>
      <c r="D32" s="7">
        <v>4841772</v>
      </c>
      <c r="E32" s="7">
        <v>12707</v>
      </c>
      <c r="F32" s="7">
        <v>4798473</v>
      </c>
      <c r="G32" s="7">
        <v>519169</v>
      </c>
      <c r="H32" s="7">
        <v>1363</v>
      </c>
      <c r="I32" s="7">
        <v>9326000</v>
      </c>
      <c r="J32" s="8">
        <v>-2.1999999999999999E-2</v>
      </c>
      <c r="K32" s="8">
        <v>7.6999999999999999E-2</v>
      </c>
      <c r="L32" s="8">
        <v>0.77510000000000001</v>
      </c>
      <c r="M32" s="8">
        <v>0.99739999999999995</v>
      </c>
      <c r="N32" s="8">
        <v>0.48099999999999998</v>
      </c>
      <c r="O32" s="9">
        <f t="shared" si="0"/>
        <v>0.51916920437486591</v>
      </c>
      <c r="P32" s="11" t="s">
        <v>254</v>
      </c>
    </row>
    <row r="33" spans="1:16" x14ac:dyDescent="0.3">
      <c r="A33" s="6">
        <v>32</v>
      </c>
      <c r="B33" s="6" t="s">
        <v>235</v>
      </c>
      <c r="C33" s="6" t="s">
        <v>32</v>
      </c>
      <c r="D33" s="7">
        <v>4772813</v>
      </c>
      <c r="E33" s="6">
        <v>74</v>
      </c>
      <c r="F33" s="7">
        <v>4772739</v>
      </c>
      <c r="G33" s="7">
        <v>183636</v>
      </c>
      <c r="H33" s="6">
        <v>3</v>
      </c>
      <c r="I33" s="7">
        <v>25990679</v>
      </c>
      <c r="J33" s="6" t="s">
        <v>257</v>
      </c>
      <c r="K33" s="6" t="s">
        <v>257</v>
      </c>
      <c r="L33" s="6" t="s">
        <v>243</v>
      </c>
      <c r="M33" s="8">
        <v>1</v>
      </c>
      <c r="N33" s="8">
        <v>0.8165</v>
      </c>
      <c r="O33" s="9">
        <f t="shared" si="0"/>
        <v>0.18363556411896742</v>
      </c>
      <c r="P33" s="11" t="s">
        <v>256</v>
      </c>
    </row>
    <row r="34" spans="1:16" x14ac:dyDescent="0.3">
      <c r="A34" s="6">
        <v>33</v>
      </c>
      <c r="B34" s="6" t="s">
        <v>235</v>
      </c>
      <c r="C34" s="6" t="s">
        <v>33</v>
      </c>
      <c r="D34" s="7">
        <v>4770149</v>
      </c>
      <c r="E34" s="7">
        <v>34586</v>
      </c>
      <c r="F34" s="7">
        <v>4692636</v>
      </c>
      <c r="G34" s="7">
        <v>68069</v>
      </c>
      <c r="H34" s="6">
        <v>494</v>
      </c>
      <c r="I34" s="7">
        <v>70078203</v>
      </c>
      <c r="J34" s="8">
        <v>-6.2E-2</v>
      </c>
      <c r="K34" s="8">
        <v>4.5999999999999999E-2</v>
      </c>
      <c r="L34" s="8">
        <v>0.79469999999999996</v>
      </c>
      <c r="M34" s="8">
        <v>0.99270000000000003</v>
      </c>
      <c r="N34" s="8">
        <v>0.93200000000000005</v>
      </c>
      <c r="O34" s="9">
        <f t="shared" si="0"/>
        <v>6.8068940066856445E-2</v>
      </c>
      <c r="P34" s="11" t="s">
        <v>255</v>
      </c>
    </row>
    <row r="35" spans="1:16" x14ac:dyDescent="0.3">
      <c r="A35" s="6">
        <v>34</v>
      </c>
      <c r="B35" s="6" t="s">
        <v>236</v>
      </c>
      <c r="C35" s="6" t="s">
        <v>34</v>
      </c>
      <c r="D35" s="7">
        <v>4759041</v>
      </c>
      <c r="E35" s="7">
        <v>43517</v>
      </c>
      <c r="F35" s="7">
        <v>4715206</v>
      </c>
      <c r="G35" s="7">
        <v>443246</v>
      </c>
      <c r="H35" s="7">
        <v>4053</v>
      </c>
      <c r="I35" s="7">
        <v>10736784</v>
      </c>
      <c r="J35" s="8">
        <v>-5.5E-2</v>
      </c>
      <c r="K35" s="8">
        <v>9.5000000000000001E-2</v>
      </c>
      <c r="L35" s="8">
        <v>0.6542</v>
      </c>
      <c r="M35" s="8">
        <v>0.9909</v>
      </c>
      <c r="N35" s="8">
        <v>0.55700000000000005</v>
      </c>
      <c r="O35" s="9">
        <f t="shared" si="0"/>
        <v>0.44324641345117866</v>
      </c>
      <c r="P35" s="11" t="s">
        <v>254</v>
      </c>
    </row>
    <row r="36" spans="1:16" x14ac:dyDescent="0.3">
      <c r="A36" s="6">
        <v>35</v>
      </c>
      <c r="B36" s="6" t="s">
        <v>237</v>
      </c>
      <c r="C36" s="6" t="s">
        <v>35</v>
      </c>
      <c r="D36" s="7">
        <v>4572667</v>
      </c>
      <c r="E36" s="7">
        <v>222161</v>
      </c>
      <c r="F36" s="7">
        <v>4350506</v>
      </c>
      <c r="G36" s="7">
        <v>135751</v>
      </c>
      <c r="H36" s="7">
        <v>6595</v>
      </c>
      <c r="I36" s="7">
        <v>33684208</v>
      </c>
      <c r="J36" s="8">
        <v>-0.11</v>
      </c>
      <c r="K36" s="8">
        <v>6.4000000000000001E-2</v>
      </c>
      <c r="L36" s="8">
        <v>0.91300000000000003</v>
      </c>
      <c r="M36" s="8">
        <v>0.95140000000000002</v>
      </c>
      <c r="N36" s="8">
        <v>0.86439999999999995</v>
      </c>
      <c r="O36" s="9">
        <f t="shared" si="0"/>
        <v>0.13575106174382964</v>
      </c>
      <c r="P36" s="11" t="s">
        <v>254</v>
      </c>
    </row>
    <row r="37" spans="1:16" x14ac:dyDescent="0.3">
      <c r="A37" s="6">
        <v>36</v>
      </c>
      <c r="B37" s="6" t="s">
        <v>236</v>
      </c>
      <c r="C37" s="6" t="s">
        <v>36</v>
      </c>
      <c r="D37" s="7">
        <v>4453053</v>
      </c>
      <c r="E37" s="7">
        <v>14452</v>
      </c>
      <c r="F37" s="7">
        <v>4438309</v>
      </c>
      <c r="G37" s="7">
        <v>507549</v>
      </c>
      <c r="H37" s="7">
        <v>1647</v>
      </c>
      <c r="I37" s="7">
        <v>8773637</v>
      </c>
      <c r="J37" s="8">
        <v>-2.4E-2</v>
      </c>
      <c r="K37" s="8">
        <v>0.12</v>
      </c>
      <c r="L37" s="8">
        <v>0.69340000000000002</v>
      </c>
      <c r="M37" s="8">
        <v>0.99680000000000002</v>
      </c>
      <c r="N37" s="8">
        <v>0.49370000000000003</v>
      </c>
      <c r="O37" s="9">
        <f t="shared" si="0"/>
        <v>0.50754926377738219</v>
      </c>
      <c r="P37" s="11" t="s">
        <v>254</v>
      </c>
    </row>
    <row r="38" spans="1:16" x14ac:dyDescent="0.3">
      <c r="A38" s="6">
        <v>37</v>
      </c>
      <c r="B38" s="6" t="s">
        <v>235</v>
      </c>
      <c r="C38" s="6" t="s">
        <v>37</v>
      </c>
      <c r="D38" s="7">
        <v>4140383</v>
      </c>
      <c r="E38" s="7">
        <v>66864</v>
      </c>
      <c r="F38" s="7">
        <v>4067381</v>
      </c>
      <c r="G38" s="7">
        <v>36800</v>
      </c>
      <c r="H38" s="6">
        <v>594</v>
      </c>
      <c r="I38" s="7">
        <v>112508994</v>
      </c>
      <c r="J38" s="8">
        <v>-9.5000000000000001E-2</v>
      </c>
      <c r="K38" s="8">
        <v>5.2999999999999999E-2</v>
      </c>
      <c r="L38" s="8">
        <v>0.72550000000000003</v>
      </c>
      <c r="M38" s="8">
        <v>0.9839</v>
      </c>
      <c r="N38" s="8">
        <v>0.96319999999999995</v>
      </c>
      <c r="O38" s="9">
        <f t="shared" si="0"/>
        <v>3.6800462370146156E-2</v>
      </c>
      <c r="P38" s="11" t="s">
        <v>255</v>
      </c>
    </row>
    <row r="39" spans="1:16" x14ac:dyDescent="0.3">
      <c r="A39" s="6">
        <v>38</v>
      </c>
      <c r="B39" s="6" t="s">
        <v>240</v>
      </c>
      <c r="C39" s="6" t="s">
        <v>38</v>
      </c>
      <c r="D39" s="7">
        <v>4076463</v>
      </c>
      <c r="E39" s="7">
        <v>102595</v>
      </c>
      <c r="F39" s="7">
        <v>3912506</v>
      </c>
      <c r="G39" s="7">
        <v>67095</v>
      </c>
      <c r="H39" s="7">
        <v>1689</v>
      </c>
      <c r="I39" s="7">
        <v>60756135</v>
      </c>
      <c r="J39" s="8">
        <v>-6.4000000000000001E-2</v>
      </c>
      <c r="K39" s="8">
        <v>8.6999999999999994E-2</v>
      </c>
      <c r="L39" s="8">
        <v>0.3881</v>
      </c>
      <c r="M39" s="8">
        <v>0.97489999999999999</v>
      </c>
      <c r="N39" s="8">
        <v>0.93289999999999995</v>
      </c>
      <c r="O39" s="9">
        <f t="shared" si="0"/>
        <v>6.7095495788203119E-2</v>
      </c>
      <c r="P39" s="11" t="s">
        <v>254</v>
      </c>
    </row>
    <row r="40" spans="1:16" x14ac:dyDescent="0.3">
      <c r="A40" s="6">
        <v>39</v>
      </c>
      <c r="B40" s="6" t="s">
        <v>236</v>
      </c>
      <c r="C40" s="6" t="s">
        <v>39</v>
      </c>
      <c r="D40" s="7">
        <v>3529735</v>
      </c>
      <c r="E40" s="7">
        <v>68929</v>
      </c>
      <c r="F40" s="7">
        <v>3460149</v>
      </c>
      <c r="G40" s="7">
        <v>185470</v>
      </c>
      <c r="H40" s="7">
        <v>3622</v>
      </c>
      <c r="I40" s="7">
        <v>19031335</v>
      </c>
      <c r="J40" s="8">
        <v>-3.6999999999999998E-2</v>
      </c>
      <c r="K40" s="8">
        <v>6.5000000000000002E-2</v>
      </c>
      <c r="L40" s="8">
        <v>0.28560000000000002</v>
      </c>
      <c r="M40" s="8">
        <v>0.98050000000000004</v>
      </c>
      <c r="N40" s="8">
        <v>0.81440000000000001</v>
      </c>
      <c r="O40" s="9">
        <f t="shared" si="0"/>
        <v>0.18546964782029216</v>
      </c>
      <c r="P40" s="11" t="s">
        <v>254</v>
      </c>
    </row>
    <row r="41" spans="1:16" x14ac:dyDescent="0.3">
      <c r="A41" s="6">
        <v>40</v>
      </c>
      <c r="B41" s="6" t="s">
        <v>236</v>
      </c>
      <c r="C41" s="6" t="s">
        <v>40</v>
      </c>
      <c r="D41" s="7">
        <v>3183756</v>
      </c>
      <c r="E41" s="7">
        <v>8814</v>
      </c>
      <c r="F41" s="7">
        <v>3174942</v>
      </c>
      <c r="G41" s="7">
        <v>545636</v>
      </c>
      <c r="H41" s="7">
        <v>1511</v>
      </c>
      <c r="I41" s="7">
        <v>5834950</v>
      </c>
      <c r="J41" s="8">
        <v>-2.1000000000000001E-2</v>
      </c>
      <c r="K41" s="8">
        <v>0.107</v>
      </c>
      <c r="L41" s="8">
        <v>0.80410000000000004</v>
      </c>
      <c r="M41" s="8">
        <v>0.99719999999999998</v>
      </c>
      <c r="N41" s="8">
        <v>0.45429999999999998</v>
      </c>
      <c r="O41" s="9">
        <f t="shared" si="0"/>
        <v>0.54563552386909908</v>
      </c>
      <c r="P41" s="11" t="s">
        <v>254</v>
      </c>
    </row>
    <row r="42" spans="1:16" x14ac:dyDescent="0.3">
      <c r="A42" s="6">
        <v>41</v>
      </c>
      <c r="B42" s="6" t="s">
        <v>235</v>
      </c>
      <c r="C42" s="6" t="s">
        <v>41</v>
      </c>
      <c r="D42" s="7">
        <v>3006155</v>
      </c>
      <c r="E42" s="7">
        <v>2024</v>
      </c>
      <c r="F42" s="7">
        <v>3004131</v>
      </c>
      <c r="G42" s="7">
        <v>505785</v>
      </c>
      <c r="H42" s="6">
        <v>341</v>
      </c>
      <c r="I42" s="7">
        <v>5943546</v>
      </c>
      <c r="J42" s="8">
        <v>-3.9E-2</v>
      </c>
      <c r="K42" s="8">
        <v>4.9000000000000002E-2</v>
      </c>
      <c r="L42" s="8">
        <v>0.93579999999999997</v>
      </c>
      <c r="M42" s="8">
        <v>0.99929999999999997</v>
      </c>
      <c r="N42" s="8">
        <v>0.49330000000000002</v>
      </c>
      <c r="O42" s="9">
        <f t="shared" si="0"/>
        <v>0.5057847621605015</v>
      </c>
      <c r="P42" s="11" t="s">
        <v>255</v>
      </c>
    </row>
    <row r="43" spans="1:16" x14ac:dyDescent="0.3">
      <c r="A43" s="6">
        <v>42</v>
      </c>
      <c r="B43" s="6" t="s">
        <v>235</v>
      </c>
      <c r="C43" s="6" t="s">
        <v>42</v>
      </c>
      <c r="D43" s="7">
        <v>2937609</v>
      </c>
      <c r="E43" s="7">
        <v>14924</v>
      </c>
      <c r="F43" s="7">
        <v>2916005</v>
      </c>
      <c r="G43" s="7">
        <v>386309</v>
      </c>
      <c r="H43" s="7">
        <v>1963</v>
      </c>
      <c r="I43" s="7">
        <v>7604299</v>
      </c>
      <c r="J43" s="8">
        <v>-6.0999999999999999E-2</v>
      </c>
      <c r="K43" s="8">
        <v>6.9000000000000006E-2</v>
      </c>
      <c r="L43" s="8">
        <v>0.92689999999999995</v>
      </c>
      <c r="M43" s="8">
        <v>0.99490000000000001</v>
      </c>
      <c r="N43" s="8">
        <v>0.61370000000000002</v>
      </c>
      <c r="O43" s="9">
        <f t="shared" si="0"/>
        <v>0.38630898127493407</v>
      </c>
      <c r="P43" s="11" t="s">
        <v>254</v>
      </c>
    </row>
    <row r="44" spans="1:16" x14ac:dyDescent="0.3">
      <c r="A44" s="6">
        <v>43</v>
      </c>
      <c r="B44" s="6" t="s">
        <v>236</v>
      </c>
      <c r="C44" s="6" t="s">
        <v>43</v>
      </c>
      <c r="D44" s="7">
        <v>2754129</v>
      </c>
      <c r="E44" s="7">
        <v>27407</v>
      </c>
      <c r="F44" s="7">
        <v>2726492</v>
      </c>
      <c r="G44" s="7">
        <v>269511</v>
      </c>
      <c r="H44" s="7">
        <v>2682</v>
      </c>
      <c r="I44" s="7">
        <v>10218971</v>
      </c>
      <c r="J44" s="8">
        <v>-2.8000000000000001E-2</v>
      </c>
      <c r="K44" s="8">
        <v>0.111</v>
      </c>
      <c r="L44" s="8">
        <v>0.74139999999999995</v>
      </c>
      <c r="M44" s="8">
        <v>0.99</v>
      </c>
      <c r="N44" s="8">
        <v>0.73040000000000005</v>
      </c>
      <c r="O44" s="9">
        <f t="shared" si="0"/>
        <v>0.26951138231041072</v>
      </c>
      <c r="P44" s="11" t="s">
        <v>254</v>
      </c>
    </row>
    <row r="45" spans="1:16" x14ac:dyDescent="0.3">
      <c r="A45" s="6">
        <v>44</v>
      </c>
      <c r="B45" s="6" t="s">
        <v>239</v>
      </c>
      <c r="C45" s="6" t="s">
        <v>44</v>
      </c>
      <c r="D45" s="7">
        <v>2621111</v>
      </c>
      <c r="E45" s="7">
        <v>5697</v>
      </c>
      <c r="F45" s="7">
        <v>2613791</v>
      </c>
      <c r="G45" s="7">
        <v>535117</v>
      </c>
      <c r="H45" s="7">
        <v>1163</v>
      </c>
      <c r="I45" s="7">
        <v>4898203</v>
      </c>
      <c r="J45" s="8">
        <v>-2.3E-2</v>
      </c>
      <c r="K45" s="8">
        <v>0.1</v>
      </c>
      <c r="L45" s="8">
        <v>0.83840000000000003</v>
      </c>
      <c r="M45" s="8">
        <v>0.99780000000000002</v>
      </c>
      <c r="N45" s="8">
        <v>0.46500000000000002</v>
      </c>
      <c r="O45" s="9">
        <f t="shared" si="0"/>
        <v>0.53511685816206478</v>
      </c>
      <c r="P45" s="11" t="s">
        <v>254</v>
      </c>
    </row>
    <row r="46" spans="1:16" x14ac:dyDescent="0.3">
      <c r="A46" s="6">
        <v>45</v>
      </c>
      <c r="B46" s="6" t="s">
        <v>236</v>
      </c>
      <c r="C46" s="6" t="s">
        <v>45</v>
      </c>
      <c r="D46" s="7">
        <v>2615054</v>
      </c>
      <c r="E46" s="7">
        <v>18057</v>
      </c>
      <c r="F46" s="7">
        <v>2596608</v>
      </c>
      <c r="G46" s="7">
        <v>302213</v>
      </c>
      <c r="H46" s="7">
        <v>2087</v>
      </c>
      <c r="I46" s="7">
        <v>8653016</v>
      </c>
      <c r="J46" s="8">
        <v>-8.9999999999999993E-3</v>
      </c>
      <c r="K46" s="8">
        <v>9.5000000000000001E-2</v>
      </c>
      <c r="L46" s="8">
        <v>0.49390000000000001</v>
      </c>
      <c r="M46" s="8">
        <v>0.99309999999999998</v>
      </c>
      <c r="N46" s="8">
        <v>0.69779999999999998</v>
      </c>
      <c r="O46" s="9">
        <f t="shared" si="0"/>
        <v>0.30221300873591356</v>
      </c>
      <c r="P46" s="11" t="s">
        <v>254</v>
      </c>
    </row>
    <row r="47" spans="1:16" x14ac:dyDescent="0.3">
      <c r="A47" s="6">
        <v>46</v>
      </c>
      <c r="B47" s="6" t="s">
        <v>235</v>
      </c>
      <c r="C47" s="6" t="s">
        <v>46</v>
      </c>
      <c r="D47" s="7">
        <v>2465545</v>
      </c>
      <c r="E47" s="7">
        <v>25375</v>
      </c>
      <c r="F47" s="7">
        <v>2439497</v>
      </c>
      <c r="G47" s="7">
        <v>58474</v>
      </c>
      <c r="H47" s="6">
        <v>602</v>
      </c>
      <c r="I47" s="7">
        <v>42164965</v>
      </c>
      <c r="J47" s="8">
        <v>-0.109</v>
      </c>
      <c r="K47" s="8">
        <v>4.3999999999999997E-2</v>
      </c>
      <c r="L47" s="8">
        <v>0.25719999999999998</v>
      </c>
      <c r="M47" s="8">
        <v>0.98970000000000002</v>
      </c>
      <c r="N47" s="8">
        <v>0.9415</v>
      </c>
      <c r="O47" s="9">
        <f t="shared" si="0"/>
        <v>5.847378267715863E-2</v>
      </c>
      <c r="P47" s="11" t="s">
        <v>255</v>
      </c>
    </row>
    <row r="48" spans="1:16" x14ac:dyDescent="0.3">
      <c r="A48" s="6">
        <v>47</v>
      </c>
      <c r="B48" s="6" t="s">
        <v>236</v>
      </c>
      <c r="C48" s="6" t="s">
        <v>47</v>
      </c>
      <c r="D48" s="7">
        <v>2230232</v>
      </c>
      <c r="E48" s="7">
        <v>49048</v>
      </c>
      <c r="F48" s="7">
        <v>2152155</v>
      </c>
      <c r="G48" s="7">
        <v>232164</v>
      </c>
      <c r="H48" s="7">
        <v>5106</v>
      </c>
      <c r="I48" s="7">
        <v>9606259</v>
      </c>
      <c r="J48" s="8">
        <v>-4.9000000000000002E-2</v>
      </c>
      <c r="K48" s="8">
        <v>7.3999999999999996E-2</v>
      </c>
      <c r="L48" s="8">
        <v>0.66300000000000003</v>
      </c>
      <c r="M48" s="8">
        <v>0.97799999999999998</v>
      </c>
      <c r="N48" s="8">
        <v>0.76800000000000002</v>
      </c>
      <c r="O48" s="9">
        <f t="shared" si="0"/>
        <v>0.23216446693764972</v>
      </c>
      <c r="P48" s="11" t="s">
        <v>254</v>
      </c>
    </row>
    <row r="49" spans="1:16" x14ac:dyDescent="0.3">
      <c r="A49" s="6">
        <v>48</v>
      </c>
      <c r="B49" s="6" t="s">
        <v>235</v>
      </c>
      <c r="C49" s="6" t="s">
        <v>48</v>
      </c>
      <c r="D49" s="7">
        <v>2049377</v>
      </c>
      <c r="E49" s="7">
        <v>29493</v>
      </c>
      <c r="F49" s="7">
        <v>2019884</v>
      </c>
      <c r="G49" s="7">
        <v>12207</v>
      </c>
      <c r="H49" s="6">
        <v>176</v>
      </c>
      <c r="I49" s="7">
        <v>167885689</v>
      </c>
      <c r="J49" s="8">
        <v>3.4000000000000002E-2</v>
      </c>
      <c r="K49" s="8">
        <v>2.8000000000000001E-2</v>
      </c>
      <c r="L49" s="8">
        <v>0.89449999999999996</v>
      </c>
      <c r="M49" s="8">
        <v>0.98560000000000003</v>
      </c>
      <c r="N49" s="8">
        <v>0.98780000000000001</v>
      </c>
      <c r="O49" s="9">
        <f t="shared" si="0"/>
        <v>1.2206978523345131E-2</v>
      </c>
      <c r="P49" s="11" t="s">
        <v>256</v>
      </c>
    </row>
    <row r="50" spans="1:16" x14ac:dyDescent="0.3">
      <c r="A50" s="6">
        <v>49</v>
      </c>
      <c r="B50" s="6" t="s">
        <v>236</v>
      </c>
      <c r="C50" s="6" t="s">
        <v>49</v>
      </c>
      <c r="D50" s="7">
        <v>1877605</v>
      </c>
      <c r="E50" s="7">
        <v>21224</v>
      </c>
      <c r="F50" s="7">
        <v>1856381</v>
      </c>
      <c r="G50" s="7">
        <v>343872</v>
      </c>
      <c r="H50" s="7">
        <v>3887</v>
      </c>
      <c r="I50" s="7">
        <v>5460193</v>
      </c>
      <c r="J50" s="8">
        <v>-4.3999999999999997E-2</v>
      </c>
      <c r="K50" s="8">
        <v>7.9000000000000001E-2</v>
      </c>
      <c r="L50" s="8">
        <v>0.51890000000000003</v>
      </c>
      <c r="M50" s="8">
        <v>0.98870000000000002</v>
      </c>
      <c r="N50" s="8">
        <v>0.65649999999999997</v>
      </c>
      <c r="O50" s="9">
        <f t="shared" si="0"/>
        <v>0.34387154446738422</v>
      </c>
      <c r="P50" s="11" t="s">
        <v>254</v>
      </c>
    </row>
    <row r="51" spans="1:16" x14ac:dyDescent="0.3">
      <c r="A51" s="6">
        <v>50</v>
      </c>
      <c r="B51" s="6" t="s">
        <v>235</v>
      </c>
      <c r="C51" s="6" t="s">
        <v>50</v>
      </c>
      <c r="D51" s="7">
        <v>1861665</v>
      </c>
      <c r="E51" s="7">
        <v>17132</v>
      </c>
      <c r="F51" s="7">
        <v>1844533</v>
      </c>
      <c r="G51" s="7">
        <v>469082</v>
      </c>
      <c r="H51" s="7">
        <v>4317</v>
      </c>
      <c r="I51" s="7">
        <v>3968738</v>
      </c>
      <c r="J51" s="8">
        <v>-6.8000000000000005E-2</v>
      </c>
      <c r="K51" s="8">
        <v>7.5999999999999998E-2</v>
      </c>
      <c r="L51" s="8">
        <v>0.436</v>
      </c>
      <c r="M51" s="8">
        <v>0.99080000000000001</v>
      </c>
      <c r="N51" s="8">
        <v>0.53049999999999997</v>
      </c>
      <c r="O51" s="9">
        <f t="shared" si="0"/>
        <v>0.46908236320966512</v>
      </c>
      <c r="P51" s="11" t="s">
        <v>254</v>
      </c>
    </row>
    <row r="52" spans="1:16" x14ac:dyDescent="0.3">
      <c r="A52" s="6">
        <v>51</v>
      </c>
      <c r="B52" s="6" t="s">
        <v>235</v>
      </c>
      <c r="C52" s="6" t="s">
        <v>51</v>
      </c>
      <c r="D52" s="7">
        <v>1746997</v>
      </c>
      <c r="E52" s="7">
        <v>14122</v>
      </c>
      <c r="F52" s="7">
        <v>1731007</v>
      </c>
      <c r="G52" s="7">
        <v>169597</v>
      </c>
      <c r="H52" s="7">
        <v>1371</v>
      </c>
      <c r="I52" s="7">
        <v>10300869</v>
      </c>
      <c r="J52" s="8">
        <v>-1.6E-2</v>
      </c>
      <c r="K52" s="8">
        <v>7.0000000000000007E-2</v>
      </c>
      <c r="L52" s="8">
        <v>0.42830000000000001</v>
      </c>
      <c r="M52" s="8">
        <v>0.9919</v>
      </c>
      <c r="N52" s="8">
        <v>0.83040000000000003</v>
      </c>
      <c r="O52" s="9">
        <f t="shared" si="0"/>
        <v>0.16959705050127324</v>
      </c>
      <c r="P52" s="11" t="s">
        <v>254</v>
      </c>
    </row>
    <row r="53" spans="1:16" x14ac:dyDescent="0.3">
      <c r="A53" s="6">
        <v>52</v>
      </c>
      <c r="B53" s="6" t="s">
        <v>236</v>
      </c>
      <c r="C53" s="6" t="s">
        <v>52</v>
      </c>
      <c r="D53" s="7">
        <v>1734582</v>
      </c>
      <c r="E53" s="7">
        <v>9491</v>
      </c>
      <c r="F53" s="7">
        <v>1724921</v>
      </c>
      <c r="G53" s="7">
        <v>345521</v>
      </c>
      <c r="H53" s="7">
        <v>1891</v>
      </c>
      <c r="I53" s="7">
        <v>5020199</v>
      </c>
      <c r="J53" s="8">
        <v>6.2E-2</v>
      </c>
      <c r="K53" s="8">
        <v>6.6000000000000003E-2</v>
      </c>
      <c r="L53" s="8">
        <v>0.80469999999999997</v>
      </c>
      <c r="M53" s="8">
        <v>0.99450000000000005</v>
      </c>
      <c r="N53" s="8">
        <v>0.65480000000000005</v>
      </c>
      <c r="O53" s="9">
        <f t="shared" si="0"/>
        <v>0.34552056601740289</v>
      </c>
      <c r="P53" s="11" t="s">
        <v>254</v>
      </c>
    </row>
    <row r="54" spans="1:16" x14ac:dyDescent="0.3">
      <c r="A54" s="6">
        <v>53</v>
      </c>
      <c r="B54" s="6" t="s">
        <v>235</v>
      </c>
      <c r="C54" s="6" t="s">
        <v>53</v>
      </c>
      <c r="D54" s="7">
        <v>1581936</v>
      </c>
      <c r="E54" s="7">
        <v>30664</v>
      </c>
      <c r="F54" s="7">
        <v>1538689</v>
      </c>
      <c r="G54" s="7">
        <v>6893</v>
      </c>
      <c r="H54" s="6">
        <v>134</v>
      </c>
      <c r="I54" s="7">
        <v>229488994</v>
      </c>
      <c r="J54" s="8">
        <v>-1.4999999999999999E-2</v>
      </c>
      <c r="K54" s="8">
        <v>2.9100000000000001E-2</v>
      </c>
      <c r="L54" s="8">
        <v>0.6794</v>
      </c>
      <c r="M54" s="8">
        <v>0.98060000000000003</v>
      </c>
      <c r="N54" s="8">
        <v>0.99309999999999998</v>
      </c>
      <c r="O54" s="9">
        <f t="shared" si="0"/>
        <v>6.893297898198987E-3</v>
      </c>
      <c r="P54" s="11" t="s">
        <v>256</v>
      </c>
    </row>
    <row r="55" spans="1:16" x14ac:dyDescent="0.3">
      <c r="A55" s="6">
        <v>54</v>
      </c>
      <c r="B55" s="6" t="s">
        <v>236</v>
      </c>
      <c r="C55" s="6" t="s">
        <v>54</v>
      </c>
      <c r="D55" s="7">
        <v>1516117</v>
      </c>
      <c r="E55" s="7">
        <v>11958</v>
      </c>
      <c r="F55" s="7">
        <v>1503989</v>
      </c>
      <c r="G55" s="7">
        <v>272930</v>
      </c>
      <c r="H55" s="7">
        <v>2153</v>
      </c>
      <c r="I55" s="7">
        <v>5554960</v>
      </c>
      <c r="J55" s="8">
        <v>-2.3E-2</v>
      </c>
      <c r="K55" s="8">
        <v>0.104</v>
      </c>
      <c r="L55" s="8">
        <v>0.81240000000000001</v>
      </c>
      <c r="M55" s="8">
        <v>0.99209999999999998</v>
      </c>
      <c r="N55" s="8">
        <v>0.72709999999999997</v>
      </c>
      <c r="O55" s="9">
        <f t="shared" si="0"/>
        <v>0.27293031813010354</v>
      </c>
      <c r="P55" s="11" t="s">
        <v>254</v>
      </c>
    </row>
    <row r="56" spans="1:16" x14ac:dyDescent="0.3">
      <c r="A56" s="6">
        <v>55</v>
      </c>
      <c r="B56" s="6" t="s">
        <v>236</v>
      </c>
      <c r="C56" s="6" t="s">
        <v>55</v>
      </c>
      <c r="D56" s="7">
        <v>1509732</v>
      </c>
      <c r="E56" s="7">
        <v>6638</v>
      </c>
      <c r="F56" s="7">
        <v>1503094</v>
      </c>
      <c r="G56" s="7">
        <v>273930</v>
      </c>
      <c r="H56" s="7">
        <v>1204</v>
      </c>
      <c r="I56" s="7">
        <v>5511370</v>
      </c>
      <c r="J56" s="8">
        <v>-1.2999999999999999E-2</v>
      </c>
      <c r="K56" s="8">
        <v>0.105</v>
      </c>
      <c r="L56" s="8">
        <v>0.79659999999999997</v>
      </c>
      <c r="M56" s="8">
        <v>0.99560000000000004</v>
      </c>
      <c r="N56" s="8">
        <v>0.72609999999999997</v>
      </c>
      <c r="O56" s="9">
        <f t="shared" si="0"/>
        <v>0.27393043834835984</v>
      </c>
      <c r="P56" s="11" t="s">
        <v>254</v>
      </c>
    </row>
    <row r="57" spans="1:16" x14ac:dyDescent="0.3">
      <c r="A57" s="6">
        <v>56</v>
      </c>
      <c r="B57" s="6" t="s">
        <v>235</v>
      </c>
      <c r="C57" s="6" t="s">
        <v>56</v>
      </c>
      <c r="D57" s="7">
        <v>1411831</v>
      </c>
      <c r="E57" s="7">
        <v>13848</v>
      </c>
      <c r="F57" s="7">
        <v>1383020</v>
      </c>
      <c r="G57" s="7">
        <v>73514</v>
      </c>
      <c r="H57" s="6">
        <v>721</v>
      </c>
      <c r="I57" s="7">
        <v>19205043</v>
      </c>
      <c r="J57" s="8">
        <v>-2.5000000000000001E-2</v>
      </c>
      <c r="K57" s="8">
        <v>3.2000000000000001E-2</v>
      </c>
      <c r="L57" s="8">
        <v>0.54200000000000004</v>
      </c>
      <c r="M57" s="8">
        <v>0.99019999999999997</v>
      </c>
      <c r="N57" s="8">
        <v>0.92649999999999999</v>
      </c>
      <c r="O57" s="9">
        <f t="shared" si="0"/>
        <v>7.3513555788445775E-2</v>
      </c>
      <c r="P57" s="11" t="s">
        <v>255</v>
      </c>
    </row>
    <row r="58" spans="1:16" x14ac:dyDescent="0.3">
      <c r="A58" s="6">
        <v>57</v>
      </c>
      <c r="B58" s="6" t="s">
        <v>236</v>
      </c>
      <c r="C58" s="6" t="s">
        <v>57</v>
      </c>
      <c r="D58" s="7">
        <v>1397806</v>
      </c>
      <c r="E58" s="7">
        <v>9897</v>
      </c>
      <c r="F58" s="7">
        <v>1387478</v>
      </c>
      <c r="G58" s="7">
        <v>525154</v>
      </c>
      <c r="H58" s="7">
        <v>3718</v>
      </c>
      <c r="I58" s="7">
        <v>2661708</v>
      </c>
      <c r="J58" s="8">
        <v>-1E-3</v>
      </c>
      <c r="K58" s="8">
        <v>7.8E-2</v>
      </c>
      <c r="L58" s="8">
        <v>0.69520000000000004</v>
      </c>
      <c r="M58" s="8">
        <v>0.9929</v>
      </c>
      <c r="N58" s="8">
        <v>0.4748</v>
      </c>
      <c r="O58" s="9">
        <f t="shared" si="0"/>
        <v>0.52515377344171488</v>
      </c>
      <c r="P58" s="11" t="s">
        <v>254</v>
      </c>
    </row>
    <row r="59" spans="1:16" x14ac:dyDescent="0.3">
      <c r="A59" s="6">
        <v>58</v>
      </c>
      <c r="B59" s="6" t="s">
        <v>236</v>
      </c>
      <c r="C59" s="6" t="s">
        <v>58</v>
      </c>
      <c r="D59" s="7">
        <v>1356546</v>
      </c>
      <c r="E59" s="7">
        <v>7100</v>
      </c>
      <c r="F59" s="7">
        <v>1349424</v>
      </c>
      <c r="G59" s="7">
        <v>652803</v>
      </c>
      <c r="H59" s="7">
        <v>3417</v>
      </c>
      <c r="I59" s="7">
        <v>2078034</v>
      </c>
      <c r="J59" s="8">
        <v>-4.2000000000000003E-2</v>
      </c>
      <c r="K59" s="8">
        <v>9.5000000000000001E-2</v>
      </c>
      <c r="L59" s="8">
        <v>0.59840000000000004</v>
      </c>
      <c r="M59" s="8">
        <v>0.99480000000000002</v>
      </c>
      <c r="N59" s="8">
        <v>0.34720000000000001</v>
      </c>
      <c r="O59" s="9">
        <f t="shared" si="0"/>
        <v>0.65280260091990794</v>
      </c>
      <c r="P59" s="11" t="s">
        <v>254</v>
      </c>
    </row>
    <row r="60" spans="1:16" x14ac:dyDescent="0.3">
      <c r="A60" s="6">
        <v>59</v>
      </c>
      <c r="B60" s="6" t="s">
        <v>236</v>
      </c>
      <c r="C60" s="6" t="s">
        <v>59</v>
      </c>
      <c r="D60" s="7">
        <v>1339851</v>
      </c>
      <c r="E60" s="7">
        <v>38748</v>
      </c>
      <c r="F60" s="7">
        <v>1292944</v>
      </c>
      <c r="G60" s="7">
        <v>195753</v>
      </c>
      <c r="H60" s="7">
        <v>5661</v>
      </c>
      <c r="I60" s="7">
        <v>6844597</v>
      </c>
      <c r="J60" s="8">
        <v>-0.04</v>
      </c>
      <c r="K60" s="8">
        <v>0.08</v>
      </c>
      <c r="L60" s="8">
        <v>0.31580000000000003</v>
      </c>
      <c r="M60" s="8">
        <v>0.97109999999999996</v>
      </c>
      <c r="N60" s="8">
        <v>0.8044</v>
      </c>
      <c r="O60" s="9">
        <f t="shared" si="0"/>
        <v>0.19575308816574591</v>
      </c>
      <c r="P60" s="11" t="s">
        <v>254</v>
      </c>
    </row>
    <row r="61" spans="1:16" x14ac:dyDescent="0.3">
      <c r="A61" s="6">
        <v>60</v>
      </c>
      <c r="B61" s="6" t="s">
        <v>236</v>
      </c>
      <c r="C61" s="6" t="s">
        <v>60</v>
      </c>
      <c r="D61" s="7">
        <v>1309728</v>
      </c>
      <c r="E61" s="7">
        <v>18687</v>
      </c>
      <c r="F61" s="7">
        <v>1258432</v>
      </c>
      <c r="G61" s="7">
        <v>322650</v>
      </c>
      <c r="H61" s="7">
        <v>4604</v>
      </c>
      <c r="I61" s="7">
        <v>4059286</v>
      </c>
      <c r="J61" s="8">
        <v>-8.4000000000000005E-2</v>
      </c>
      <c r="K61" s="8">
        <v>8.7999999999999995E-2</v>
      </c>
      <c r="L61" s="8">
        <v>0.59460000000000002</v>
      </c>
      <c r="M61" s="8">
        <v>0.98570000000000002</v>
      </c>
      <c r="N61" s="8">
        <v>0.6774</v>
      </c>
      <c r="O61" s="9">
        <f t="shared" si="0"/>
        <v>0.32264984531762481</v>
      </c>
      <c r="P61" s="11" t="s">
        <v>254</v>
      </c>
    </row>
    <row r="62" spans="1:16" x14ac:dyDescent="0.3">
      <c r="A62" s="6">
        <v>61</v>
      </c>
      <c r="B62" s="6" t="s">
        <v>234</v>
      </c>
      <c r="C62" s="6" t="s">
        <v>61</v>
      </c>
      <c r="D62" s="7">
        <v>1291293</v>
      </c>
      <c r="E62" s="7">
        <v>20289</v>
      </c>
      <c r="F62" s="7">
        <v>1269891</v>
      </c>
      <c r="G62" s="7">
        <v>69484</v>
      </c>
      <c r="H62" s="7">
        <v>1092</v>
      </c>
      <c r="I62" s="7">
        <v>18584039</v>
      </c>
      <c r="J62" s="8">
        <v>-1.4999999999999999E-2</v>
      </c>
      <c r="K62" s="8">
        <v>5.7000000000000002E-2</v>
      </c>
      <c r="L62" s="8">
        <v>0.50080000000000002</v>
      </c>
      <c r="M62" s="8">
        <v>0.98429999999999995</v>
      </c>
      <c r="N62" s="8">
        <v>0.9304</v>
      </c>
      <c r="O62" s="9">
        <f t="shared" si="0"/>
        <v>6.9483980312352978E-2</v>
      </c>
      <c r="P62" s="11" t="s">
        <v>254</v>
      </c>
    </row>
    <row r="63" spans="1:16" x14ac:dyDescent="0.3">
      <c r="A63" s="6">
        <v>62</v>
      </c>
      <c r="B63" s="6" t="s">
        <v>240</v>
      </c>
      <c r="C63" s="6" t="s">
        <v>62</v>
      </c>
      <c r="D63" s="7">
        <v>1278992</v>
      </c>
      <c r="E63" s="7">
        <v>16303</v>
      </c>
      <c r="F63" s="7">
        <v>1262689</v>
      </c>
      <c r="G63" s="7">
        <v>33860</v>
      </c>
      <c r="H63" s="6">
        <v>432</v>
      </c>
      <c r="I63" s="7">
        <v>37772756</v>
      </c>
      <c r="J63" s="8">
        <v>-6.3E-2</v>
      </c>
      <c r="K63" s="8">
        <v>6.4000000000000001E-2</v>
      </c>
      <c r="L63" s="8">
        <v>0.67030000000000001</v>
      </c>
      <c r="M63" s="8">
        <v>0.98719999999999997</v>
      </c>
      <c r="N63" s="8">
        <v>0.96609999999999996</v>
      </c>
      <c r="O63" s="9">
        <f t="shared" si="0"/>
        <v>3.3860171600928454E-2</v>
      </c>
      <c r="P63" s="11" t="s">
        <v>255</v>
      </c>
    </row>
    <row r="64" spans="1:16" x14ac:dyDescent="0.3">
      <c r="A64" s="6">
        <v>63</v>
      </c>
      <c r="B64" s="6" t="s">
        <v>235</v>
      </c>
      <c r="C64" s="6" t="s">
        <v>63</v>
      </c>
      <c r="D64" s="7">
        <v>1243838</v>
      </c>
      <c r="E64" s="7">
        <v>10952</v>
      </c>
      <c r="F64" s="7">
        <v>1087587</v>
      </c>
      <c r="G64" s="7">
        <v>186068</v>
      </c>
      <c r="H64" s="7">
        <v>1638</v>
      </c>
      <c r="I64" s="7">
        <v>6684849</v>
      </c>
      <c r="J64" s="8">
        <v>-0.214</v>
      </c>
      <c r="K64" s="8">
        <v>6.5000000000000002E-2</v>
      </c>
      <c r="L64" s="8">
        <v>0.47699999999999998</v>
      </c>
      <c r="M64" s="8">
        <v>0.99119999999999997</v>
      </c>
      <c r="N64" s="8">
        <v>0.81410000000000005</v>
      </c>
      <c r="O64" s="9">
        <f t="shared" si="0"/>
        <v>0.18606822682157817</v>
      </c>
      <c r="P64" s="11" t="s">
        <v>254</v>
      </c>
    </row>
    <row r="65" spans="1:16" x14ac:dyDescent="0.3">
      <c r="A65" s="6">
        <v>64</v>
      </c>
      <c r="B65" s="6" t="s">
        <v>234</v>
      </c>
      <c r="C65" s="6" t="s">
        <v>64</v>
      </c>
      <c r="D65" s="7">
        <v>1238883</v>
      </c>
      <c r="E65" s="7">
        <v>9428</v>
      </c>
      <c r="F65" s="7">
        <v>1229455</v>
      </c>
      <c r="G65" s="7">
        <v>239058</v>
      </c>
      <c r="H65" s="7">
        <v>1819</v>
      </c>
      <c r="I65" s="7">
        <v>5182354</v>
      </c>
      <c r="J65" s="8">
        <v>-4.3999999999999997E-2</v>
      </c>
      <c r="K65" s="8">
        <v>7.5999999999999998E-2</v>
      </c>
      <c r="L65" s="8">
        <v>0.91520000000000001</v>
      </c>
      <c r="M65" s="8">
        <v>0.99239999999999995</v>
      </c>
      <c r="N65" s="8">
        <v>0.76100000000000001</v>
      </c>
      <c r="O65" s="9">
        <f t="shared" si="0"/>
        <v>0.23905796477816837</v>
      </c>
      <c r="P65" s="11" t="s">
        <v>254</v>
      </c>
    </row>
    <row r="66" spans="1:16" x14ac:dyDescent="0.3">
      <c r="A66" s="6">
        <v>65</v>
      </c>
      <c r="B66" s="6" t="s">
        <v>237</v>
      </c>
      <c r="C66" s="6" t="s">
        <v>65</v>
      </c>
      <c r="D66" s="7">
        <v>1212131</v>
      </c>
      <c r="E66" s="7">
        <v>22407</v>
      </c>
      <c r="F66" s="7">
        <v>1177145</v>
      </c>
      <c r="G66" s="7">
        <v>101073</v>
      </c>
      <c r="H66" s="7">
        <v>1868</v>
      </c>
      <c r="I66" s="7">
        <v>11992656</v>
      </c>
      <c r="J66" s="8">
        <v>-8.6999999999999994E-2</v>
      </c>
      <c r="K66" s="8">
        <v>7.9000000000000001E-2</v>
      </c>
      <c r="L66" s="8">
        <v>0.60950000000000004</v>
      </c>
      <c r="M66" s="8">
        <v>0.98150000000000004</v>
      </c>
      <c r="N66" s="8">
        <v>0.89900000000000002</v>
      </c>
      <c r="O66" s="9">
        <f t="shared" si="0"/>
        <v>0.10107277320386743</v>
      </c>
      <c r="P66" s="11" t="s">
        <v>254</v>
      </c>
    </row>
    <row r="67" spans="1:16" x14ac:dyDescent="0.3">
      <c r="A67" s="6">
        <v>66</v>
      </c>
      <c r="B67" s="6" t="s">
        <v>240</v>
      </c>
      <c r="C67" s="6" t="s">
        <v>66</v>
      </c>
      <c r="D67" s="7">
        <v>1153361</v>
      </c>
      <c r="E67" s="7">
        <v>29423</v>
      </c>
      <c r="F67" s="7">
        <v>1123938</v>
      </c>
      <c r="G67" s="7">
        <v>95741</v>
      </c>
      <c r="H67" s="7">
        <v>2442</v>
      </c>
      <c r="I67" s="7">
        <v>12046656</v>
      </c>
      <c r="J67" s="8">
        <v>-8.7999999999999995E-2</v>
      </c>
      <c r="K67" s="8">
        <v>7.5999999999999998E-2</v>
      </c>
      <c r="L67" s="8">
        <v>0.73409999999999997</v>
      </c>
      <c r="M67" s="8">
        <v>0.97450000000000003</v>
      </c>
      <c r="N67" s="8">
        <v>0.90459999999999996</v>
      </c>
      <c r="O67" s="9">
        <f t="shared" ref="O67:O130" si="1">D67/I67</f>
        <v>9.5741174978350843E-2</v>
      </c>
      <c r="P67" s="11" t="s">
        <v>254</v>
      </c>
    </row>
    <row r="68" spans="1:16" x14ac:dyDescent="0.3">
      <c r="A68" s="6">
        <v>67</v>
      </c>
      <c r="B68" s="6" t="s">
        <v>234</v>
      </c>
      <c r="C68" s="6" t="s">
        <v>67</v>
      </c>
      <c r="D68" s="7">
        <v>1115251</v>
      </c>
      <c r="E68" s="7">
        <v>8530</v>
      </c>
      <c r="F68" s="7">
        <v>1106660</v>
      </c>
      <c r="G68" s="7">
        <v>98645</v>
      </c>
      <c r="H68" s="6">
        <v>754</v>
      </c>
      <c r="I68" s="7">
        <v>11305652</v>
      </c>
      <c r="J68" s="8">
        <v>-0.109</v>
      </c>
      <c r="K68" s="8">
        <v>0.113</v>
      </c>
      <c r="L68" s="8">
        <v>0.97699999999999998</v>
      </c>
      <c r="M68" s="8">
        <v>0.99239999999999995</v>
      </c>
      <c r="N68" s="8">
        <v>0.90129999999999999</v>
      </c>
      <c r="O68" s="9">
        <f t="shared" si="1"/>
        <v>9.8645438582401088E-2</v>
      </c>
      <c r="P68" s="11" t="s">
        <v>255</v>
      </c>
    </row>
    <row r="69" spans="1:16" x14ac:dyDescent="0.3">
      <c r="A69" s="6">
        <v>68</v>
      </c>
      <c r="B69" s="6" t="s">
        <v>237</v>
      </c>
      <c r="C69" s="6" t="s">
        <v>68</v>
      </c>
      <c r="D69" s="7">
        <v>1070188</v>
      </c>
      <c r="E69" s="7">
        <v>36043</v>
      </c>
      <c r="F69" s="7">
        <v>1034145</v>
      </c>
      <c r="G69" s="7">
        <v>59083</v>
      </c>
      <c r="H69" s="7">
        <v>1990</v>
      </c>
      <c r="I69" s="7">
        <v>18113361</v>
      </c>
      <c r="J69" s="8">
        <v>-7.8E-2</v>
      </c>
      <c r="K69" s="8">
        <v>6.6000000000000003E-2</v>
      </c>
      <c r="L69" s="8">
        <v>0.86099999999999999</v>
      </c>
      <c r="M69" s="8">
        <v>0.96630000000000005</v>
      </c>
      <c r="N69" s="8">
        <v>0.94099999999999995</v>
      </c>
      <c r="O69" s="9">
        <f t="shared" si="1"/>
        <v>5.9082795291276975E-2</v>
      </c>
      <c r="P69" s="11" t="s">
        <v>254</v>
      </c>
    </row>
    <row r="70" spans="1:16" x14ac:dyDescent="0.3">
      <c r="A70" s="6">
        <v>69</v>
      </c>
      <c r="B70" s="6" t="s">
        <v>235</v>
      </c>
      <c r="C70" s="6" t="s">
        <v>69</v>
      </c>
      <c r="D70" s="7">
        <v>1067030</v>
      </c>
      <c r="E70" s="7">
        <v>2349</v>
      </c>
      <c r="F70" s="7">
        <v>1064681</v>
      </c>
      <c r="G70" s="7">
        <v>105837</v>
      </c>
      <c r="H70" s="6">
        <v>233</v>
      </c>
      <c r="I70" s="7">
        <v>10081785</v>
      </c>
      <c r="J70" s="8">
        <v>-6.0999999999999999E-2</v>
      </c>
      <c r="K70" s="8">
        <v>4.2999999999999997E-2</v>
      </c>
      <c r="L70" s="8">
        <v>0.97550000000000003</v>
      </c>
      <c r="M70" s="8">
        <v>0.99780000000000002</v>
      </c>
      <c r="N70" s="8">
        <v>0.89439999999999997</v>
      </c>
      <c r="O70" s="9">
        <f t="shared" si="1"/>
        <v>0.10583740875251754</v>
      </c>
      <c r="P70" s="11" t="s">
        <v>255</v>
      </c>
    </row>
    <row r="71" spans="1:16" x14ac:dyDescent="0.3">
      <c r="A71" s="6">
        <v>70</v>
      </c>
      <c r="B71" s="6" t="s">
        <v>234</v>
      </c>
      <c r="C71" s="6" t="s">
        <v>70</v>
      </c>
      <c r="D71" s="7">
        <v>1059893</v>
      </c>
      <c r="E71" s="7">
        <v>8727</v>
      </c>
      <c r="F71" s="7">
        <v>1051102</v>
      </c>
      <c r="G71" s="7">
        <v>238341</v>
      </c>
      <c r="H71" s="7">
        <v>1962</v>
      </c>
      <c r="I71" s="7">
        <v>4446964</v>
      </c>
      <c r="J71" s="8">
        <v>-0.17899999999999999</v>
      </c>
      <c r="K71" s="8">
        <v>0.105</v>
      </c>
      <c r="L71" s="8">
        <v>0.85119999999999996</v>
      </c>
      <c r="M71" s="8">
        <v>0.99180000000000001</v>
      </c>
      <c r="N71" s="8">
        <v>0.76160000000000005</v>
      </c>
      <c r="O71" s="9">
        <f t="shared" si="1"/>
        <v>0.23834080959504056</v>
      </c>
      <c r="P71" s="11" t="s">
        <v>254</v>
      </c>
    </row>
    <row r="72" spans="1:16" x14ac:dyDescent="0.3">
      <c r="A72" s="6">
        <v>71</v>
      </c>
      <c r="B72" s="6" t="s">
        <v>237</v>
      </c>
      <c r="C72" s="6" t="s">
        <v>71</v>
      </c>
      <c r="D72" s="7">
        <v>1041111</v>
      </c>
      <c r="E72" s="7">
        <v>7664</v>
      </c>
      <c r="F72" s="7">
        <v>1030944</v>
      </c>
      <c r="G72" s="7">
        <v>297799</v>
      </c>
      <c r="H72" s="7">
        <v>2192</v>
      </c>
      <c r="I72" s="7">
        <v>3496016</v>
      </c>
      <c r="J72" s="8">
        <v>-5.8999999999999997E-2</v>
      </c>
      <c r="K72" s="8">
        <v>9.4E-2</v>
      </c>
      <c r="L72" s="8">
        <v>0.88780000000000003</v>
      </c>
      <c r="M72" s="8">
        <v>0.99260000000000004</v>
      </c>
      <c r="N72" s="8">
        <v>0.70209999999999995</v>
      </c>
      <c r="O72" s="9">
        <f t="shared" si="1"/>
        <v>0.29779926636491366</v>
      </c>
      <c r="P72" s="11" t="s">
        <v>254</v>
      </c>
    </row>
    <row r="73" spans="1:16" x14ac:dyDescent="0.3">
      <c r="A73" s="6">
        <v>72</v>
      </c>
      <c r="B73" s="6" t="s">
        <v>235</v>
      </c>
      <c r="C73" s="6" t="s">
        <v>72</v>
      </c>
      <c r="D73" s="7">
        <v>1011496</v>
      </c>
      <c r="E73" s="7">
        <v>2284</v>
      </c>
      <c r="F73" s="7">
        <v>1009212</v>
      </c>
      <c r="G73" s="7">
        <v>299429</v>
      </c>
      <c r="H73" s="6">
        <v>676</v>
      </c>
      <c r="I73" s="7">
        <v>3378078</v>
      </c>
      <c r="J73" s="8">
        <v>-4.5999999999999999E-2</v>
      </c>
      <c r="K73" s="8">
        <v>7.2999999999999995E-2</v>
      </c>
      <c r="L73" s="8">
        <v>0.67449999999999999</v>
      </c>
      <c r="M73" s="8">
        <v>0.99770000000000003</v>
      </c>
      <c r="N73" s="8">
        <v>0.7006</v>
      </c>
      <c r="O73" s="9">
        <f t="shared" si="1"/>
        <v>0.29942943887026885</v>
      </c>
      <c r="P73" s="11" t="s">
        <v>255</v>
      </c>
    </row>
    <row r="74" spans="1:16" x14ac:dyDescent="0.3">
      <c r="A74" s="6">
        <v>73</v>
      </c>
      <c r="B74" s="6" t="s">
        <v>235</v>
      </c>
      <c r="C74" s="6" t="s">
        <v>73</v>
      </c>
      <c r="D74" s="7">
        <v>1003450</v>
      </c>
      <c r="E74" s="7">
        <v>12031</v>
      </c>
      <c r="F74" s="7">
        <v>991322</v>
      </c>
      <c r="G74" s="7">
        <v>33199</v>
      </c>
      <c r="H74" s="6">
        <v>398</v>
      </c>
      <c r="I74" s="7">
        <v>30225582</v>
      </c>
      <c r="J74" s="8">
        <v>-2.1000000000000001E-2</v>
      </c>
      <c r="K74" s="8">
        <v>5.8000000000000003E-2</v>
      </c>
      <c r="L74" s="8">
        <v>0.93830000000000002</v>
      </c>
      <c r="M74" s="8">
        <v>0.98799999999999999</v>
      </c>
      <c r="N74" s="8">
        <v>0.96679999999999999</v>
      </c>
      <c r="O74" s="9">
        <f t="shared" si="1"/>
        <v>3.3198699035803511E-2</v>
      </c>
      <c r="P74" s="11" t="s">
        <v>255</v>
      </c>
    </row>
    <row r="75" spans="1:16" x14ac:dyDescent="0.3">
      <c r="A75" s="6">
        <v>74</v>
      </c>
      <c r="B75" s="6" t="s">
        <v>236</v>
      </c>
      <c r="C75" s="6" t="s">
        <v>74</v>
      </c>
      <c r="D75" s="7">
        <v>994037</v>
      </c>
      <c r="E75" s="7">
        <v>7118</v>
      </c>
      <c r="F75" s="7">
        <v>985592</v>
      </c>
      <c r="G75" s="7">
        <v>105381</v>
      </c>
      <c r="H75" s="6">
        <v>755</v>
      </c>
      <c r="I75" s="7">
        <v>9432800</v>
      </c>
      <c r="J75" s="8">
        <v>-8.9999999999999993E-3</v>
      </c>
      <c r="K75" s="8">
        <v>5.8000000000000003E-2</v>
      </c>
      <c r="L75" s="8">
        <v>0.71250000000000002</v>
      </c>
      <c r="M75" s="8">
        <v>0.99280000000000002</v>
      </c>
      <c r="N75" s="8">
        <v>0.89459999999999995</v>
      </c>
      <c r="O75" s="9">
        <f t="shared" si="1"/>
        <v>0.10538090492748707</v>
      </c>
      <c r="P75" s="11" t="s">
        <v>255</v>
      </c>
    </row>
    <row r="76" spans="1:16" x14ac:dyDescent="0.3">
      <c r="A76" s="6">
        <v>75</v>
      </c>
      <c r="B76" s="6" t="s">
        <v>236</v>
      </c>
      <c r="C76" s="6" t="s">
        <v>75</v>
      </c>
      <c r="D76" s="7">
        <v>982505</v>
      </c>
      <c r="E76" s="7">
        <v>6715</v>
      </c>
      <c r="F76" s="7">
        <v>971406</v>
      </c>
      <c r="G76" s="7">
        <v>531418</v>
      </c>
      <c r="H76" s="7">
        <v>3632</v>
      </c>
      <c r="I76" s="7">
        <v>1848837</v>
      </c>
      <c r="J76" s="8">
        <v>-3.5999999999999997E-2</v>
      </c>
      <c r="K76" s="8">
        <v>9.0999999999999998E-2</v>
      </c>
      <c r="L76" s="8">
        <v>0.7157</v>
      </c>
      <c r="M76" s="8">
        <v>0.99319999999999997</v>
      </c>
      <c r="N76" s="8">
        <v>0.46860000000000002</v>
      </c>
      <c r="O76" s="9">
        <f t="shared" si="1"/>
        <v>0.5314178589026507</v>
      </c>
      <c r="P76" s="11" t="s">
        <v>254</v>
      </c>
    </row>
    <row r="77" spans="1:16" x14ac:dyDescent="0.3">
      <c r="A77" s="6">
        <v>76</v>
      </c>
      <c r="B77" s="6" t="s">
        <v>235</v>
      </c>
      <c r="C77" s="6" t="s">
        <v>76</v>
      </c>
      <c r="D77" s="7">
        <v>841469</v>
      </c>
      <c r="E77" s="7">
        <v>9646</v>
      </c>
      <c r="F77" s="7">
        <v>831823</v>
      </c>
      <c r="G77" s="7">
        <v>23475</v>
      </c>
      <c r="H77" s="6">
        <v>269</v>
      </c>
      <c r="I77" s="7">
        <v>35844909</v>
      </c>
      <c r="J77" s="8">
        <v>-4.1000000000000002E-2</v>
      </c>
      <c r="K77" s="8">
        <v>6.4000000000000001E-2</v>
      </c>
      <c r="L77" s="8">
        <v>0.84040000000000004</v>
      </c>
      <c r="M77" s="8">
        <v>0.98850000000000005</v>
      </c>
      <c r="N77" s="8">
        <v>0.97650000000000003</v>
      </c>
      <c r="O77" s="9">
        <f t="shared" si="1"/>
        <v>2.3475272318308857E-2</v>
      </c>
      <c r="P77" s="11" t="s">
        <v>255</v>
      </c>
    </row>
    <row r="78" spans="1:16" x14ac:dyDescent="0.3">
      <c r="A78" s="6">
        <v>77</v>
      </c>
      <c r="B78" s="6" t="s">
        <v>237</v>
      </c>
      <c r="C78" s="6" t="s">
        <v>77</v>
      </c>
      <c r="D78" s="7">
        <v>837602</v>
      </c>
      <c r="E78" s="7">
        <v>20155</v>
      </c>
      <c r="F78" s="7">
        <v>817447</v>
      </c>
      <c r="G78" s="7">
        <v>114648</v>
      </c>
      <c r="H78" s="7">
        <v>2759</v>
      </c>
      <c r="I78" s="7">
        <v>7305843</v>
      </c>
      <c r="J78" s="8">
        <v>-6.0000000000000001E-3</v>
      </c>
      <c r="K78" s="8">
        <v>6.5000000000000002E-2</v>
      </c>
      <c r="L78" s="8">
        <v>0.59109999999999996</v>
      </c>
      <c r="M78" s="8">
        <v>0.97589999999999999</v>
      </c>
      <c r="N78" s="8">
        <v>0.88470000000000004</v>
      </c>
      <c r="O78" s="9">
        <f t="shared" si="1"/>
        <v>0.1146482342968498</v>
      </c>
      <c r="P78" s="11" t="s">
        <v>254</v>
      </c>
    </row>
    <row r="79" spans="1:16" x14ac:dyDescent="0.3">
      <c r="A79" s="6">
        <v>78</v>
      </c>
      <c r="B79" s="6" t="s">
        <v>235</v>
      </c>
      <c r="C79" s="6" t="s">
        <v>78</v>
      </c>
      <c r="D79" s="7">
        <v>835234</v>
      </c>
      <c r="E79" s="7">
        <v>10400</v>
      </c>
      <c r="F79" s="7">
        <v>824089</v>
      </c>
      <c r="G79" s="7">
        <v>81089</v>
      </c>
      <c r="H79" s="7">
        <v>1010</v>
      </c>
      <c r="I79" s="7">
        <v>10300205</v>
      </c>
      <c r="J79" s="8">
        <v>-4.2999999999999997E-2</v>
      </c>
      <c r="K79" s="8">
        <v>4.2999999999999997E-2</v>
      </c>
      <c r="L79" s="8">
        <v>0.52190000000000003</v>
      </c>
      <c r="M79" s="8">
        <v>0.98750000000000004</v>
      </c>
      <c r="N79" s="8">
        <v>0.91900000000000004</v>
      </c>
      <c r="O79" s="9">
        <f t="shared" si="1"/>
        <v>8.108906570306125E-2</v>
      </c>
      <c r="P79" s="11" t="s">
        <v>254</v>
      </c>
    </row>
    <row r="80" spans="1:16" x14ac:dyDescent="0.3">
      <c r="A80" s="6">
        <v>79</v>
      </c>
      <c r="B80" s="6" t="s">
        <v>235</v>
      </c>
      <c r="C80" s="6" t="s">
        <v>79</v>
      </c>
      <c r="D80" s="7">
        <v>729549</v>
      </c>
      <c r="E80" s="7">
        <v>1574</v>
      </c>
      <c r="F80" s="7">
        <v>727915</v>
      </c>
      <c r="G80" s="7">
        <v>408944</v>
      </c>
      <c r="H80" s="6">
        <v>882</v>
      </c>
      <c r="I80" s="7">
        <v>1783983</v>
      </c>
      <c r="J80" s="8">
        <v>-5.1999999999999998E-2</v>
      </c>
      <c r="K80" s="8">
        <v>4.3999999999999997E-2</v>
      </c>
      <c r="L80" s="8">
        <v>0.80940000000000001</v>
      </c>
      <c r="M80" s="8">
        <v>0.99780000000000002</v>
      </c>
      <c r="N80" s="8">
        <v>0.59</v>
      </c>
      <c r="O80" s="9">
        <f t="shared" si="1"/>
        <v>0.4089439193086481</v>
      </c>
      <c r="P80" s="11" t="s">
        <v>255</v>
      </c>
    </row>
    <row r="81" spans="1:16" x14ac:dyDescent="0.3">
      <c r="A81" s="6">
        <v>80</v>
      </c>
      <c r="B81" s="6" t="s">
        <v>236</v>
      </c>
      <c r="C81" s="6" t="s">
        <v>80</v>
      </c>
      <c r="D81" s="7">
        <v>681110</v>
      </c>
      <c r="E81" s="7">
        <v>1365</v>
      </c>
      <c r="F81" s="7">
        <v>679745</v>
      </c>
      <c r="G81" s="7">
        <v>556741</v>
      </c>
      <c r="H81" s="7">
        <v>1116</v>
      </c>
      <c r="I81" s="7">
        <v>1223387</v>
      </c>
      <c r="J81" s="8">
        <v>-3.7999999999999999E-2</v>
      </c>
      <c r="K81" s="8">
        <v>8.5000000000000006E-2</v>
      </c>
      <c r="L81" s="6" t="s">
        <v>244</v>
      </c>
      <c r="M81" s="8">
        <v>0.998</v>
      </c>
      <c r="N81" s="8">
        <v>0.44330000000000003</v>
      </c>
      <c r="O81" s="9">
        <f t="shared" si="1"/>
        <v>0.55674124377649914</v>
      </c>
      <c r="P81" s="11" t="s">
        <v>254</v>
      </c>
    </row>
    <row r="82" spans="1:16" x14ac:dyDescent="0.3">
      <c r="A82" s="6">
        <v>81</v>
      </c>
      <c r="B82" s="6" t="s">
        <v>234</v>
      </c>
      <c r="C82" s="6" t="s">
        <v>81</v>
      </c>
      <c r="D82" s="7">
        <v>675890</v>
      </c>
      <c r="E82" s="7">
        <v>4384</v>
      </c>
      <c r="F82" s="7">
        <v>671316</v>
      </c>
      <c r="G82" s="7">
        <v>61131</v>
      </c>
      <c r="H82" s="6">
        <v>397</v>
      </c>
      <c r="I82" s="7">
        <v>11056370</v>
      </c>
      <c r="J82" s="8">
        <v>-6.7000000000000004E-2</v>
      </c>
      <c r="K82" s="8">
        <v>5.3999999999999999E-2</v>
      </c>
      <c r="L82" s="8">
        <v>0.65600000000000003</v>
      </c>
      <c r="M82" s="8">
        <v>0.99350000000000005</v>
      </c>
      <c r="N82" s="8">
        <v>0.93899999999999995</v>
      </c>
      <c r="O82" s="9">
        <f t="shared" si="1"/>
        <v>6.1131275454783078E-2</v>
      </c>
      <c r="P82" s="11" t="s">
        <v>255</v>
      </c>
    </row>
    <row r="83" spans="1:16" x14ac:dyDescent="0.3">
      <c r="A83" s="6">
        <v>82</v>
      </c>
      <c r="B83" s="6" t="s">
        <v>235</v>
      </c>
      <c r="C83" s="6" t="s">
        <v>82</v>
      </c>
      <c r="D83" s="7">
        <v>672754</v>
      </c>
      <c r="E83" s="7">
        <v>16897</v>
      </c>
      <c r="F83" s="7">
        <v>655852</v>
      </c>
      <c r="G83" s="7">
        <v>31181</v>
      </c>
      <c r="H83" s="6">
        <v>783</v>
      </c>
      <c r="I83" s="7">
        <v>21575842</v>
      </c>
      <c r="J83" s="8">
        <v>-3.5999999999999997E-2</v>
      </c>
      <c r="K83" s="8">
        <v>4.1000000000000002E-2</v>
      </c>
      <c r="L83" s="8">
        <v>0.75080000000000002</v>
      </c>
      <c r="M83" s="8">
        <v>0.97489999999999999</v>
      </c>
      <c r="N83" s="8">
        <v>0.96879999999999999</v>
      </c>
      <c r="O83" s="9">
        <f t="shared" si="1"/>
        <v>3.1180892036565711E-2</v>
      </c>
      <c r="P83" s="11" t="s">
        <v>255</v>
      </c>
    </row>
    <row r="84" spans="1:16" x14ac:dyDescent="0.3">
      <c r="A84" s="6">
        <v>83</v>
      </c>
      <c r="B84" s="6" t="s">
        <v>235</v>
      </c>
      <c r="C84" s="6" t="s">
        <v>83</v>
      </c>
      <c r="D84" s="7">
        <v>667158</v>
      </c>
      <c r="E84" s="7">
        <v>2570</v>
      </c>
      <c r="F84" s="7">
        <v>664588</v>
      </c>
      <c r="G84" s="7">
        <v>152308</v>
      </c>
      <c r="H84" s="6">
        <v>587</v>
      </c>
      <c r="I84" s="7">
        <v>4380326</v>
      </c>
      <c r="J84" s="8">
        <v>-8.8999999999999996E-2</v>
      </c>
      <c r="K84" s="8">
        <v>2.4E-2</v>
      </c>
      <c r="L84" s="8">
        <v>0.75329999999999997</v>
      </c>
      <c r="M84" s="8">
        <v>0.99609999999999999</v>
      </c>
      <c r="N84" s="8">
        <v>0.84760000000000002</v>
      </c>
      <c r="O84" s="9">
        <f t="shared" si="1"/>
        <v>0.15230784192774693</v>
      </c>
      <c r="P84" s="11" t="s">
        <v>255</v>
      </c>
    </row>
    <row r="85" spans="1:16" x14ac:dyDescent="0.3">
      <c r="A85" s="6">
        <v>84</v>
      </c>
      <c r="B85" s="6" t="s">
        <v>235</v>
      </c>
      <c r="C85" s="6" t="s">
        <v>84</v>
      </c>
      <c r="D85" s="7">
        <v>641873</v>
      </c>
      <c r="E85" s="7">
        <v>19495</v>
      </c>
      <c r="F85" s="7">
        <v>620159</v>
      </c>
      <c r="G85" s="7">
        <v>11622</v>
      </c>
      <c r="H85" s="6">
        <v>353</v>
      </c>
      <c r="I85" s="7">
        <v>55227143</v>
      </c>
      <c r="J85" s="8">
        <v>-5.8000000000000003E-2</v>
      </c>
      <c r="K85" s="8">
        <v>2.1000000000000001E-2</v>
      </c>
      <c r="L85" s="8">
        <v>0.77300000000000002</v>
      </c>
      <c r="M85" s="8">
        <v>0.96960000000000002</v>
      </c>
      <c r="N85" s="8">
        <v>0.98839999999999995</v>
      </c>
      <c r="O85" s="9">
        <f t="shared" si="1"/>
        <v>1.162241907027492E-2</v>
      </c>
      <c r="P85" s="11" t="s">
        <v>255</v>
      </c>
    </row>
    <row r="86" spans="1:16" x14ac:dyDescent="0.3">
      <c r="A86" s="6">
        <v>85</v>
      </c>
      <c r="B86" s="6" t="s">
        <v>236</v>
      </c>
      <c r="C86" s="6" t="s">
        <v>85</v>
      </c>
      <c r="D86" s="7">
        <v>635145</v>
      </c>
      <c r="E86" s="7">
        <v>12218</v>
      </c>
      <c r="F86" s="7">
        <v>622927</v>
      </c>
      <c r="G86" s="7">
        <v>158265</v>
      </c>
      <c r="H86" s="7">
        <v>3044</v>
      </c>
      <c r="I86" s="7">
        <v>4013171</v>
      </c>
      <c r="J86" s="8">
        <v>-4.1000000000000002E-2</v>
      </c>
      <c r="K86" s="8">
        <v>9.0999999999999998E-2</v>
      </c>
      <c r="L86" s="8">
        <v>0.36499999999999999</v>
      </c>
      <c r="M86" s="8">
        <v>0.98080000000000001</v>
      </c>
      <c r="N86" s="8">
        <v>0.84189999999999998</v>
      </c>
      <c r="O86" s="9">
        <f t="shared" si="1"/>
        <v>0.15826512251782943</v>
      </c>
      <c r="P86" s="11" t="s">
        <v>254</v>
      </c>
    </row>
    <row r="87" spans="1:16" x14ac:dyDescent="0.3">
      <c r="A87" s="6">
        <v>86</v>
      </c>
      <c r="B87" s="6" t="s">
        <v>236</v>
      </c>
      <c r="C87" s="6" t="s">
        <v>86</v>
      </c>
      <c r="D87" s="7">
        <v>628070</v>
      </c>
      <c r="E87" s="7">
        <v>3001</v>
      </c>
      <c r="F87" s="7">
        <v>625069</v>
      </c>
      <c r="G87" s="7">
        <v>475123</v>
      </c>
      <c r="H87" s="7">
        <v>2270</v>
      </c>
      <c r="I87" s="7">
        <v>1321910</v>
      </c>
      <c r="J87" s="8">
        <v>-8.9999999999999993E-3</v>
      </c>
      <c r="K87" s="8">
        <v>7.4999999999999997E-2</v>
      </c>
      <c r="L87" s="8">
        <v>0.64449999999999996</v>
      </c>
      <c r="M87" s="8">
        <v>0.99519999999999997</v>
      </c>
      <c r="N87" s="8">
        <v>0.52490000000000003</v>
      </c>
      <c r="O87" s="9">
        <f t="shared" si="1"/>
        <v>0.47512311730753226</v>
      </c>
      <c r="P87" s="11" t="s">
        <v>254</v>
      </c>
    </row>
    <row r="88" spans="1:16" x14ac:dyDescent="0.3">
      <c r="A88" s="6">
        <v>87</v>
      </c>
      <c r="B88" s="6" t="s">
        <v>235</v>
      </c>
      <c r="C88" s="6" t="s">
        <v>87</v>
      </c>
      <c r="D88" s="7">
        <v>621008</v>
      </c>
      <c r="E88" s="7">
        <v>5404</v>
      </c>
      <c r="F88" s="7">
        <v>615445</v>
      </c>
      <c r="G88" s="7">
        <v>116173</v>
      </c>
      <c r="H88" s="7">
        <v>1011</v>
      </c>
      <c r="I88" s="7">
        <v>5345541</v>
      </c>
      <c r="J88" s="8">
        <v>-0.03</v>
      </c>
      <c r="K88" s="8">
        <v>0.112</v>
      </c>
      <c r="L88" s="8">
        <v>0.37940000000000002</v>
      </c>
      <c r="M88" s="8">
        <v>0.99129999999999996</v>
      </c>
      <c r="N88" s="8">
        <v>0.88380000000000003</v>
      </c>
      <c r="O88" s="9">
        <f t="shared" si="1"/>
        <v>0.11617308706452724</v>
      </c>
      <c r="P88" s="11" t="s">
        <v>254</v>
      </c>
    </row>
    <row r="89" spans="1:16" x14ac:dyDescent="0.3">
      <c r="A89" s="6">
        <v>88</v>
      </c>
      <c r="B89" s="6" t="s">
        <v>237</v>
      </c>
      <c r="C89" s="6" t="s">
        <v>88</v>
      </c>
      <c r="D89" s="7">
        <v>552695</v>
      </c>
      <c r="E89" s="7">
        <v>5856</v>
      </c>
      <c r="F89" s="7">
        <v>546537</v>
      </c>
      <c r="G89" s="7">
        <v>18885</v>
      </c>
      <c r="H89" s="6">
        <v>200</v>
      </c>
      <c r="I89" s="7">
        <v>29266991</v>
      </c>
      <c r="J89" s="6" t="s">
        <v>257</v>
      </c>
      <c r="K89" s="6" t="s">
        <v>257</v>
      </c>
      <c r="L89" s="8">
        <v>0.78539999999999999</v>
      </c>
      <c r="M89" s="8">
        <v>0.98939999999999995</v>
      </c>
      <c r="N89" s="8">
        <v>0.98109999999999997</v>
      </c>
      <c r="O89" s="9">
        <f t="shared" si="1"/>
        <v>1.8884585709545612E-2</v>
      </c>
      <c r="P89" s="11" t="s">
        <v>255</v>
      </c>
    </row>
    <row r="90" spans="1:16" x14ac:dyDescent="0.3">
      <c r="A90" s="6">
        <v>89</v>
      </c>
      <c r="B90" s="6" t="s">
        <v>241</v>
      </c>
      <c r="C90" s="6" t="s">
        <v>89</v>
      </c>
      <c r="D90" s="7">
        <v>516023</v>
      </c>
      <c r="E90" s="7">
        <v>24613</v>
      </c>
      <c r="F90" s="7">
        <v>442182</v>
      </c>
      <c r="G90" s="7">
        <v>4861</v>
      </c>
      <c r="H90" s="6">
        <v>232</v>
      </c>
      <c r="I90" s="7">
        <v>106156692</v>
      </c>
      <c r="J90" s="8">
        <v>3.5999999999999997E-2</v>
      </c>
      <c r="K90" s="8">
        <v>4.8000000000000001E-2</v>
      </c>
      <c r="L90" s="8">
        <v>0.50529999999999997</v>
      </c>
      <c r="M90" s="8">
        <v>0.95230000000000004</v>
      </c>
      <c r="N90" s="8">
        <v>0.99509999999999998</v>
      </c>
      <c r="O90" s="9">
        <f t="shared" si="1"/>
        <v>4.8609559159963275E-3</v>
      </c>
      <c r="P90" s="11" t="s">
        <v>255</v>
      </c>
    </row>
    <row r="91" spans="1:16" x14ac:dyDescent="0.3">
      <c r="A91" s="6">
        <v>90</v>
      </c>
      <c r="B91" s="6" t="s">
        <v>235</v>
      </c>
      <c r="C91" s="6" t="s">
        <v>90</v>
      </c>
      <c r="D91" s="7">
        <v>514524</v>
      </c>
      <c r="E91" s="6">
        <v>690</v>
      </c>
      <c r="F91" s="7">
        <v>513687</v>
      </c>
      <c r="G91" s="7">
        <v>172664</v>
      </c>
      <c r="H91" s="6">
        <v>232</v>
      </c>
      <c r="I91" s="7">
        <v>2979915</v>
      </c>
      <c r="J91" s="8">
        <v>-2.5999999999999999E-2</v>
      </c>
      <c r="K91" s="8">
        <v>3.5000000000000003E-2</v>
      </c>
      <c r="L91" s="8">
        <v>0.98609999999999998</v>
      </c>
      <c r="M91" s="8">
        <v>0.99870000000000003</v>
      </c>
      <c r="N91" s="8">
        <v>0.82750000000000001</v>
      </c>
      <c r="O91" s="9">
        <f t="shared" si="1"/>
        <v>0.17266398538213337</v>
      </c>
      <c r="P91" s="11" t="s">
        <v>255</v>
      </c>
    </row>
    <row r="92" spans="1:16" x14ac:dyDescent="0.3">
      <c r="A92" s="6">
        <v>91</v>
      </c>
      <c r="B92" s="6" t="s">
        <v>240</v>
      </c>
      <c r="C92" s="6" t="s">
        <v>91</v>
      </c>
      <c r="D92" s="7">
        <v>507274</v>
      </c>
      <c r="E92" s="7">
        <v>6437</v>
      </c>
      <c r="F92" s="7">
        <v>500835</v>
      </c>
      <c r="G92" s="7">
        <v>72048</v>
      </c>
      <c r="H92" s="6">
        <v>914</v>
      </c>
      <c r="I92" s="7">
        <v>7040745</v>
      </c>
      <c r="J92" s="6" t="s">
        <v>257</v>
      </c>
      <c r="K92" s="6" t="s">
        <v>257</v>
      </c>
      <c r="L92" s="8">
        <v>0.32069999999999999</v>
      </c>
      <c r="M92" s="8">
        <v>0.98729999999999996</v>
      </c>
      <c r="N92" s="8">
        <v>0.92789999999999995</v>
      </c>
      <c r="O92" s="9">
        <f t="shared" si="1"/>
        <v>7.2048341475227415E-2</v>
      </c>
      <c r="P92" s="11" t="s">
        <v>254</v>
      </c>
    </row>
    <row r="93" spans="1:16" x14ac:dyDescent="0.3">
      <c r="A93" s="6">
        <v>92</v>
      </c>
      <c r="B93" s="6" t="s">
        <v>235</v>
      </c>
      <c r="C93" s="6" t="s">
        <v>92</v>
      </c>
      <c r="D93" s="7">
        <v>503302</v>
      </c>
      <c r="E93" s="7">
        <v>5272</v>
      </c>
      <c r="F93" s="7">
        <v>379053</v>
      </c>
      <c r="G93" s="6">
        <v>347</v>
      </c>
      <c r="H93" s="6">
        <v>4</v>
      </c>
      <c r="I93" s="7">
        <v>1448471400</v>
      </c>
      <c r="J93" s="8">
        <v>2.1999999999999999E-2</v>
      </c>
      <c r="K93" s="8">
        <v>5.2999999999999999E-2</v>
      </c>
      <c r="L93" s="8">
        <v>0.92479999999999996</v>
      </c>
      <c r="M93" s="8">
        <v>0.98950000000000005</v>
      </c>
      <c r="N93" s="8">
        <v>0.99970000000000003</v>
      </c>
      <c r="O93" s="9">
        <f t="shared" si="1"/>
        <v>3.4747113405207724E-4</v>
      </c>
      <c r="P93" s="11" t="s">
        <v>256</v>
      </c>
    </row>
    <row r="94" spans="1:16" x14ac:dyDescent="0.3">
      <c r="A94" s="6">
        <v>93</v>
      </c>
      <c r="B94" s="6" t="s">
        <v>240</v>
      </c>
      <c r="C94" s="6" t="s">
        <v>93</v>
      </c>
      <c r="D94" s="7">
        <v>501157</v>
      </c>
      <c r="E94" s="7">
        <v>7574</v>
      </c>
      <c r="F94" s="7">
        <v>488171</v>
      </c>
      <c r="G94" s="7">
        <v>4148</v>
      </c>
      <c r="H94" s="6">
        <v>63</v>
      </c>
      <c r="I94" s="7">
        <v>120812698</v>
      </c>
      <c r="J94" s="8">
        <v>6.0999999999999999E-2</v>
      </c>
      <c r="K94" s="8">
        <v>4.2999999999999997E-2</v>
      </c>
      <c r="L94" s="8">
        <v>0.41860000000000003</v>
      </c>
      <c r="M94" s="8">
        <v>0.9849</v>
      </c>
      <c r="N94" s="8">
        <v>0.99590000000000001</v>
      </c>
      <c r="O94" s="9">
        <f t="shared" si="1"/>
        <v>4.1482146189633145E-3</v>
      </c>
      <c r="P94" s="11" t="s">
        <v>256</v>
      </c>
    </row>
    <row r="95" spans="1:16" x14ac:dyDescent="0.3">
      <c r="A95" s="6">
        <v>94</v>
      </c>
      <c r="B95" s="6" t="s">
        <v>240</v>
      </c>
      <c r="C95" s="6" t="s">
        <v>94</v>
      </c>
      <c r="D95" s="7">
        <v>494595</v>
      </c>
      <c r="E95" s="6">
        <v>921</v>
      </c>
      <c r="F95" s="7">
        <v>493674</v>
      </c>
      <c r="G95" s="7">
        <v>544672</v>
      </c>
      <c r="H95" s="7">
        <v>1014</v>
      </c>
      <c r="I95" s="7">
        <v>908061</v>
      </c>
      <c r="J95" s="6" t="s">
        <v>257</v>
      </c>
      <c r="K95" s="6" t="s">
        <v>257</v>
      </c>
      <c r="L95" s="6" t="s">
        <v>244</v>
      </c>
      <c r="M95" s="8">
        <v>0.99809999999999999</v>
      </c>
      <c r="N95" s="8">
        <v>0.45540000000000003</v>
      </c>
      <c r="O95" s="9">
        <f t="shared" si="1"/>
        <v>0.54467155840852099</v>
      </c>
      <c r="P95" s="11" t="s">
        <v>254</v>
      </c>
    </row>
    <row r="96" spans="1:16" x14ac:dyDescent="0.3">
      <c r="A96" s="6">
        <v>95</v>
      </c>
      <c r="B96" s="6" t="s">
        <v>234</v>
      </c>
      <c r="C96" s="6" t="s">
        <v>95</v>
      </c>
      <c r="D96" s="7">
        <v>474590</v>
      </c>
      <c r="E96" s="7">
        <v>11165</v>
      </c>
      <c r="F96" s="7">
        <v>463425</v>
      </c>
      <c r="G96" s="7">
        <v>46432</v>
      </c>
      <c r="H96" s="7">
        <v>1092</v>
      </c>
      <c r="I96" s="7">
        <v>10221247</v>
      </c>
      <c r="J96" s="8">
        <v>-0.09</v>
      </c>
      <c r="K96" s="8">
        <v>7.4999999999999997E-2</v>
      </c>
      <c r="L96" s="8">
        <v>0.63039999999999996</v>
      </c>
      <c r="M96" s="8">
        <v>0.97650000000000003</v>
      </c>
      <c r="N96" s="8">
        <v>0.95350000000000001</v>
      </c>
      <c r="O96" s="9">
        <f t="shared" si="1"/>
        <v>4.6431712294987097E-2</v>
      </c>
      <c r="P96" s="11" t="s">
        <v>254</v>
      </c>
    </row>
    <row r="97" spans="1:16" x14ac:dyDescent="0.3">
      <c r="A97" s="6">
        <v>96</v>
      </c>
      <c r="B97" s="6" t="s">
        <v>235</v>
      </c>
      <c r="C97" s="6" t="s">
        <v>96</v>
      </c>
      <c r="D97" s="7">
        <v>451831</v>
      </c>
      <c r="E97" s="7">
        <v>8777</v>
      </c>
      <c r="F97" s="7">
        <v>435162</v>
      </c>
      <c r="G97" s="7">
        <v>152031</v>
      </c>
      <c r="H97" s="7">
        <v>2953</v>
      </c>
      <c r="I97" s="7">
        <v>2971966</v>
      </c>
      <c r="J97" s="8">
        <v>-7.1999999999999995E-2</v>
      </c>
      <c r="K97" s="8">
        <v>0.1</v>
      </c>
      <c r="L97" s="8">
        <v>0.39950000000000002</v>
      </c>
      <c r="M97" s="8">
        <v>0.98050000000000004</v>
      </c>
      <c r="N97" s="8">
        <v>0.84809999999999997</v>
      </c>
      <c r="O97" s="9">
        <f t="shared" si="1"/>
        <v>0.15203101246784115</v>
      </c>
      <c r="P97" s="11" t="s">
        <v>254</v>
      </c>
    </row>
    <row r="98" spans="1:16" ht="26.4" x14ac:dyDescent="0.3">
      <c r="A98" s="6">
        <v>97</v>
      </c>
      <c r="B98" s="6" t="s">
        <v>236</v>
      </c>
      <c r="C98" s="6" t="s">
        <v>97</v>
      </c>
      <c r="D98" s="7">
        <v>403615</v>
      </c>
      <c r="E98" s="7">
        <v>16388</v>
      </c>
      <c r="F98" s="7">
        <v>379084</v>
      </c>
      <c r="G98" s="7">
        <v>124215</v>
      </c>
      <c r="H98" s="7">
        <v>5044</v>
      </c>
      <c r="I98" s="7">
        <v>3249317</v>
      </c>
      <c r="J98" s="8">
        <v>-2.9000000000000001E-2</v>
      </c>
      <c r="K98" s="8">
        <v>9.8000000000000004E-2</v>
      </c>
      <c r="L98" s="8">
        <v>0.2944</v>
      </c>
      <c r="M98" s="8">
        <v>0.95940000000000003</v>
      </c>
      <c r="N98" s="8">
        <v>0.87560000000000004</v>
      </c>
      <c r="O98" s="9">
        <f t="shared" si="1"/>
        <v>0.12421533509965325</v>
      </c>
      <c r="P98" s="11" t="s">
        <v>254</v>
      </c>
    </row>
    <row r="99" spans="1:16" x14ac:dyDescent="0.3">
      <c r="A99" s="6">
        <v>98</v>
      </c>
      <c r="B99" s="6" t="s">
        <v>235</v>
      </c>
      <c r="C99" s="6" t="s">
        <v>98</v>
      </c>
      <c r="D99" s="7">
        <v>399449</v>
      </c>
      <c r="E99" s="7">
        <v>4628</v>
      </c>
      <c r="F99" s="7">
        <v>394821</v>
      </c>
      <c r="G99" s="7">
        <v>75028</v>
      </c>
      <c r="H99" s="6">
        <v>869</v>
      </c>
      <c r="I99" s="7">
        <v>5323993</v>
      </c>
      <c r="J99" s="8">
        <v>-6.4000000000000001E-2</v>
      </c>
      <c r="K99" s="8">
        <v>5.3999999999999999E-2</v>
      </c>
      <c r="L99" s="8">
        <v>0.69330000000000003</v>
      </c>
      <c r="M99" s="8">
        <v>0.98839999999999995</v>
      </c>
      <c r="N99" s="8">
        <v>0.92500000000000004</v>
      </c>
      <c r="O99" s="9">
        <f t="shared" si="1"/>
        <v>7.5028085123327551E-2</v>
      </c>
      <c r="P99" s="11" t="s">
        <v>255</v>
      </c>
    </row>
    <row r="100" spans="1:16" x14ac:dyDescent="0.3">
      <c r="A100" s="6">
        <v>99</v>
      </c>
      <c r="B100" s="6" t="s">
        <v>236</v>
      </c>
      <c r="C100" s="6" t="s">
        <v>99</v>
      </c>
      <c r="D100" s="7">
        <v>391232</v>
      </c>
      <c r="E100" s="7">
        <v>1232</v>
      </c>
      <c r="F100" s="7">
        <v>390000</v>
      </c>
      <c r="G100" s="7">
        <v>609044</v>
      </c>
      <c r="H100" s="7">
        <v>1918</v>
      </c>
      <c r="I100" s="7">
        <v>642371</v>
      </c>
      <c r="J100" s="8">
        <v>-1.2999999999999999E-2</v>
      </c>
      <c r="K100" s="8">
        <v>5.6000000000000001E-2</v>
      </c>
      <c r="L100" s="8">
        <v>0.71450000000000002</v>
      </c>
      <c r="M100" s="8">
        <v>0.99680000000000002</v>
      </c>
      <c r="N100" s="8">
        <v>0.39090000000000003</v>
      </c>
      <c r="O100" s="9">
        <f t="shared" si="1"/>
        <v>0.60904368347886195</v>
      </c>
      <c r="P100" s="11" t="s">
        <v>254</v>
      </c>
    </row>
    <row r="101" spans="1:16" x14ac:dyDescent="0.3">
      <c r="A101" s="6">
        <v>100</v>
      </c>
      <c r="B101" s="6" t="s">
        <v>236</v>
      </c>
      <c r="C101" s="6" t="s">
        <v>100</v>
      </c>
      <c r="D101" s="7">
        <v>350567</v>
      </c>
      <c r="E101" s="7">
        <v>9976</v>
      </c>
      <c r="F101" s="7">
        <v>337068</v>
      </c>
      <c r="G101" s="7">
        <v>168436</v>
      </c>
      <c r="H101" s="7">
        <v>4793</v>
      </c>
      <c r="I101" s="7">
        <v>2081304</v>
      </c>
      <c r="J101" s="8">
        <v>-4.4999999999999998E-2</v>
      </c>
      <c r="K101" s="8">
        <v>0.08</v>
      </c>
      <c r="L101" s="8">
        <v>0.46439999999999998</v>
      </c>
      <c r="M101" s="8">
        <v>0.97150000000000003</v>
      </c>
      <c r="N101" s="8">
        <v>0.83179999999999998</v>
      </c>
      <c r="O101" s="9">
        <f t="shared" si="1"/>
        <v>0.16843623036327227</v>
      </c>
      <c r="P101" s="11" t="s">
        <v>254</v>
      </c>
    </row>
    <row r="102" spans="1:16" x14ac:dyDescent="0.3">
      <c r="A102" s="6">
        <v>101</v>
      </c>
      <c r="B102" s="6" t="s">
        <v>240</v>
      </c>
      <c r="C102" s="6" t="s">
        <v>101</v>
      </c>
      <c r="D102" s="7">
        <v>349304</v>
      </c>
      <c r="E102" s="7">
        <v>4069</v>
      </c>
      <c r="F102" s="7">
        <v>341316</v>
      </c>
      <c r="G102" s="7">
        <v>17940</v>
      </c>
      <c r="H102" s="6">
        <v>209</v>
      </c>
      <c r="I102" s="7">
        <v>19470234</v>
      </c>
      <c r="J102" s="8">
        <v>-2.8000000000000001E-2</v>
      </c>
      <c r="K102" s="8">
        <v>0.05</v>
      </c>
      <c r="L102" s="8">
        <v>0.58109999999999995</v>
      </c>
      <c r="M102" s="8">
        <v>0.98839999999999995</v>
      </c>
      <c r="N102" s="8">
        <v>0.98209999999999997</v>
      </c>
      <c r="O102" s="9">
        <f t="shared" si="1"/>
        <v>1.7940410988383601E-2</v>
      </c>
      <c r="P102" s="11" t="s">
        <v>255</v>
      </c>
    </row>
    <row r="103" spans="1:16" x14ac:dyDescent="0.3">
      <c r="A103" s="6">
        <v>102</v>
      </c>
      <c r="B103" s="6" t="s">
        <v>240</v>
      </c>
      <c r="C103" s="6" t="s">
        <v>102</v>
      </c>
      <c r="D103" s="7">
        <v>344130</v>
      </c>
      <c r="E103" s="7">
        <v>5689</v>
      </c>
      <c r="F103" s="7">
        <v>337309</v>
      </c>
      <c r="G103" s="7">
        <v>6122</v>
      </c>
      <c r="H103" s="6">
        <v>101</v>
      </c>
      <c r="I103" s="7">
        <v>56215221</v>
      </c>
      <c r="J103" s="8">
        <v>-3.0000000000000001E-3</v>
      </c>
      <c r="K103" s="8">
        <v>4.5999999999999999E-2</v>
      </c>
      <c r="L103" s="8">
        <v>0.26719999999999999</v>
      </c>
      <c r="M103" s="8">
        <v>0.98350000000000004</v>
      </c>
      <c r="N103" s="8">
        <v>0.99390000000000001</v>
      </c>
      <c r="O103" s="9">
        <f t="shared" si="1"/>
        <v>6.1216516430665641E-3</v>
      </c>
      <c r="P103" s="11" t="s">
        <v>256</v>
      </c>
    </row>
    <row r="104" spans="1:16" x14ac:dyDescent="0.3">
      <c r="A104" s="6">
        <v>103</v>
      </c>
      <c r="B104" s="6" t="s">
        <v>235</v>
      </c>
      <c r="C104" s="6" t="s">
        <v>103</v>
      </c>
      <c r="D104" s="7">
        <v>343719</v>
      </c>
      <c r="E104" s="6">
        <v>225</v>
      </c>
      <c r="F104" s="7">
        <v>243601</v>
      </c>
      <c r="G104" s="7">
        <v>771655</v>
      </c>
      <c r="H104" s="6">
        <v>505</v>
      </c>
      <c r="I104" s="7">
        <v>445431</v>
      </c>
      <c r="J104" s="8">
        <v>-1.4999999999999999E-2</v>
      </c>
      <c r="K104" s="8">
        <v>2.5000000000000001E-2</v>
      </c>
      <c r="L104" s="10">
        <v>1</v>
      </c>
      <c r="M104" s="8">
        <v>0.99929999999999997</v>
      </c>
      <c r="N104" s="8">
        <v>0.22839999999999999</v>
      </c>
      <c r="O104" s="9">
        <f t="shared" si="1"/>
        <v>0.7716548691043057</v>
      </c>
      <c r="P104" s="11" t="s">
        <v>255</v>
      </c>
    </row>
    <row r="105" spans="1:16" x14ac:dyDescent="0.3">
      <c r="A105" s="6">
        <v>104</v>
      </c>
      <c r="B105" s="6" t="s">
        <v>236</v>
      </c>
      <c r="C105" s="6" t="s">
        <v>104</v>
      </c>
      <c r="D105" s="7">
        <v>334863</v>
      </c>
      <c r="E105" s="7">
        <v>3605</v>
      </c>
      <c r="F105" s="7">
        <v>330233</v>
      </c>
      <c r="G105" s="7">
        <v>116825</v>
      </c>
      <c r="H105" s="7">
        <v>1258</v>
      </c>
      <c r="I105" s="7">
        <v>2866374</v>
      </c>
      <c r="J105" s="8">
        <v>-3.9E-2</v>
      </c>
      <c r="K105" s="8">
        <v>6.2E-2</v>
      </c>
      <c r="L105" s="8">
        <v>0.47720000000000001</v>
      </c>
      <c r="M105" s="8">
        <v>0.98919999999999997</v>
      </c>
      <c r="N105" s="8">
        <v>0.88329999999999997</v>
      </c>
      <c r="O105" s="9">
        <f t="shared" si="1"/>
        <v>0.11682460139535175</v>
      </c>
      <c r="P105" s="11" t="s">
        <v>254</v>
      </c>
    </row>
    <row r="106" spans="1:16" x14ac:dyDescent="0.3">
      <c r="A106" s="6">
        <v>105</v>
      </c>
      <c r="B106" s="6" t="s">
        <v>240</v>
      </c>
      <c r="C106" s="6" t="s">
        <v>105</v>
      </c>
      <c r="D106" s="7">
        <v>330638</v>
      </c>
      <c r="E106" s="7">
        <v>2801</v>
      </c>
      <c r="F106" s="7">
        <v>327049</v>
      </c>
      <c r="G106" s="7">
        <v>135443</v>
      </c>
      <c r="H106" s="7">
        <v>1147</v>
      </c>
      <c r="I106" s="7">
        <v>2441162</v>
      </c>
      <c r="J106" s="8">
        <v>-8.5000000000000006E-2</v>
      </c>
      <c r="K106" s="8">
        <v>0.06</v>
      </c>
      <c r="L106" s="8">
        <v>0.79959999999999998</v>
      </c>
      <c r="M106" s="8">
        <v>0.99150000000000005</v>
      </c>
      <c r="N106" s="8">
        <v>0.86470000000000002</v>
      </c>
      <c r="O106" s="9">
        <f t="shared" si="1"/>
        <v>0.13544287515535633</v>
      </c>
      <c r="P106" s="11" t="s">
        <v>254</v>
      </c>
    </row>
    <row r="107" spans="1:16" x14ac:dyDescent="0.3">
      <c r="A107" s="6">
        <v>106</v>
      </c>
      <c r="B107" s="6" t="s">
        <v>236</v>
      </c>
      <c r="C107" s="6" t="s">
        <v>106</v>
      </c>
      <c r="D107" s="7">
        <v>296542</v>
      </c>
      <c r="E107" s="7">
        <v>2846</v>
      </c>
      <c r="F107" s="7">
        <v>291794</v>
      </c>
      <c r="G107" s="7">
        <v>472238</v>
      </c>
      <c r="H107" s="7">
        <v>4532</v>
      </c>
      <c r="I107" s="7">
        <v>627950</v>
      </c>
      <c r="J107" s="8">
        <v>-0.153</v>
      </c>
      <c r="K107" s="8">
        <v>8.3000000000000004E-2</v>
      </c>
      <c r="L107" s="6" t="s">
        <v>244</v>
      </c>
      <c r="M107" s="8">
        <v>0.99039999999999995</v>
      </c>
      <c r="N107" s="8">
        <v>0.52800000000000002</v>
      </c>
      <c r="O107" s="9">
        <f t="shared" si="1"/>
        <v>0.4722382355283064</v>
      </c>
      <c r="P107" s="11" t="s">
        <v>254</v>
      </c>
    </row>
    <row r="108" spans="1:16" x14ac:dyDescent="0.3">
      <c r="A108" s="6">
        <v>107</v>
      </c>
      <c r="B108" s="6" t="s">
        <v>240</v>
      </c>
      <c r="C108" s="6" t="s">
        <v>107</v>
      </c>
      <c r="D108" s="7">
        <v>272010</v>
      </c>
      <c r="E108" s="7">
        <v>6881</v>
      </c>
      <c r="F108" s="7">
        <v>183061</v>
      </c>
      <c r="G108" s="7">
        <v>5998</v>
      </c>
      <c r="H108" s="6">
        <v>152</v>
      </c>
      <c r="I108" s="7">
        <v>45350148</v>
      </c>
      <c r="J108" s="8">
        <v>-5.0999999999999997E-2</v>
      </c>
      <c r="K108" s="8">
        <v>3.5999999999999997E-2</v>
      </c>
      <c r="L108" s="8">
        <v>0.1724</v>
      </c>
      <c r="M108" s="8">
        <v>0.97470000000000001</v>
      </c>
      <c r="N108" s="8">
        <v>0.99399999999999999</v>
      </c>
      <c r="O108" s="9">
        <f t="shared" si="1"/>
        <v>5.99799586100579E-3</v>
      </c>
      <c r="P108" s="11" t="s">
        <v>256</v>
      </c>
    </row>
    <row r="109" spans="1:16" x14ac:dyDescent="0.3">
      <c r="A109" s="6">
        <v>108</v>
      </c>
      <c r="B109" s="6" t="s">
        <v>240</v>
      </c>
      <c r="C109" s="6" t="s">
        <v>108</v>
      </c>
      <c r="D109" s="7">
        <v>267188</v>
      </c>
      <c r="E109" s="7">
        <v>3155</v>
      </c>
      <c r="F109" s="7">
        <v>259953</v>
      </c>
      <c r="G109" s="7">
        <v>1233</v>
      </c>
      <c r="H109" s="6">
        <v>15</v>
      </c>
      <c r="I109" s="7">
        <v>216746934</v>
      </c>
      <c r="J109" s="8">
        <v>-1.9E-2</v>
      </c>
      <c r="K109" s="8">
        <v>3.7999999999999999E-2</v>
      </c>
      <c r="L109" s="8">
        <v>0.42049999999999998</v>
      </c>
      <c r="M109" s="8">
        <v>0.98819999999999997</v>
      </c>
      <c r="N109" s="8">
        <v>0.99880000000000002</v>
      </c>
      <c r="O109" s="9">
        <f t="shared" si="1"/>
        <v>1.232718705954106E-3</v>
      </c>
      <c r="P109" s="11" t="s">
        <v>256</v>
      </c>
    </row>
    <row r="110" spans="1:16" x14ac:dyDescent="0.3">
      <c r="A110" s="6">
        <v>109</v>
      </c>
      <c r="B110" s="6" t="s">
        <v>240</v>
      </c>
      <c r="C110" s="6" t="s">
        <v>109</v>
      </c>
      <c r="D110" s="7">
        <v>266359</v>
      </c>
      <c r="E110" s="7">
        <v>5740</v>
      </c>
      <c r="F110" s="7">
        <v>258888</v>
      </c>
      <c r="G110" s="7">
        <v>17373</v>
      </c>
      <c r="H110" s="6">
        <v>374</v>
      </c>
      <c r="I110" s="7">
        <v>15331428</v>
      </c>
      <c r="J110" s="8">
        <v>-0.04</v>
      </c>
      <c r="K110" s="8">
        <v>7.1999999999999995E-2</v>
      </c>
      <c r="L110" s="8">
        <v>0.46829999999999999</v>
      </c>
      <c r="M110" s="8">
        <v>0.97850000000000004</v>
      </c>
      <c r="N110" s="8">
        <v>0.98260000000000003</v>
      </c>
      <c r="O110" s="9">
        <f t="shared" si="1"/>
        <v>1.7373397963973088E-2</v>
      </c>
      <c r="P110" s="11" t="s">
        <v>255</v>
      </c>
    </row>
    <row r="111" spans="1:16" x14ac:dyDescent="0.3">
      <c r="A111" s="6">
        <v>110</v>
      </c>
      <c r="B111" s="6" t="s">
        <v>235</v>
      </c>
      <c r="C111" s="6" t="s">
        <v>110</v>
      </c>
      <c r="D111" s="7">
        <v>253662</v>
      </c>
      <c r="E111" s="7">
        <v>1637</v>
      </c>
      <c r="F111" s="7">
        <v>241486</v>
      </c>
      <c r="G111" s="7">
        <v>7378</v>
      </c>
      <c r="H111" s="6">
        <v>48</v>
      </c>
      <c r="I111" s="7">
        <v>34382084</v>
      </c>
      <c r="J111" s="8">
        <v>1.9E-2</v>
      </c>
      <c r="K111" s="8">
        <v>6.8000000000000005E-2</v>
      </c>
      <c r="L111" s="8">
        <v>0.63239999999999996</v>
      </c>
      <c r="M111" s="8">
        <v>0.99350000000000005</v>
      </c>
      <c r="N111" s="8">
        <v>0.99260000000000004</v>
      </c>
      <c r="O111" s="9">
        <f t="shared" si="1"/>
        <v>7.3777377776169705E-3</v>
      </c>
      <c r="P111" s="11" t="s">
        <v>256</v>
      </c>
    </row>
    <row r="112" spans="1:16" x14ac:dyDescent="0.3">
      <c r="A112" s="6">
        <v>111</v>
      </c>
      <c r="B112" s="6" t="s">
        <v>235</v>
      </c>
      <c r="C112" s="6" t="s">
        <v>111</v>
      </c>
      <c r="D112" s="7">
        <v>234174</v>
      </c>
      <c r="E112" s="7">
        <v>7996</v>
      </c>
      <c r="F112" s="7">
        <v>211080</v>
      </c>
      <c r="G112" s="7">
        <v>5746</v>
      </c>
      <c r="H112" s="6">
        <v>196</v>
      </c>
      <c r="I112" s="7">
        <v>40754388</v>
      </c>
      <c r="J112" s="8">
        <v>-2.1000000000000001E-2</v>
      </c>
      <c r="K112" s="8">
        <v>0.13900000000000001</v>
      </c>
      <c r="L112" s="8">
        <v>0.47199999999999998</v>
      </c>
      <c r="M112" s="8">
        <v>0.96589999999999998</v>
      </c>
      <c r="N112" s="8">
        <v>0.99429999999999996</v>
      </c>
      <c r="O112" s="9">
        <f t="shared" si="1"/>
        <v>5.7459824939586875E-3</v>
      </c>
      <c r="P112" s="11" t="s">
        <v>255</v>
      </c>
    </row>
    <row r="113" spans="1:16" x14ac:dyDescent="0.3">
      <c r="A113" s="6">
        <v>112</v>
      </c>
      <c r="B113" s="6" t="s">
        <v>240</v>
      </c>
      <c r="C113" s="6" t="s">
        <v>112</v>
      </c>
      <c r="D113" s="7">
        <v>233731</v>
      </c>
      <c r="E113" s="7">
        <v>2250</v>
      </c>
      <c r="F113" s="7">
        <v>228805</v>
      </c>
      <c r="G113" s="7">
        <v>7064</v>
      </c>
      <c r="H113" s="6">
        <v>68</v>
      </c>
      <c r="I113" s="7">
        <v>33089461</v>
      </c>
      <c r="J113" s="8">
        <v>-1.2E-2</v>
      </c>
      <c r="K113" s="8">
        <v>0.06</v>
      </c>
      <c r="L113" s="8">
        <v>0.70030000000000003</v>
      </c>
      <c r="M113" s="8">
        <v>0.99039999999999995</v>
      </c>
      <c r="N113" s="8">
        <v>0.9929</v>
      </c>
      <c r="O113" s="9">
        <f t="shared" si="1"/>
        <v>7.0636085610460688E-3</v>
      </c>
      <c r="P113" s="11" t="s">
        <v>256</v>
      </c>
    </row>
    <row r="114" spans="1:16" x14ac:dyDescent="0.3">
      <c r="A114" s="6">
        <v>113</v>
      </c>
      <c r="B114" s="6" t="s">
        <v>234</v>
      </c>
      <c r="C114" s="6" t="s">
        <v>113</v>
      </c>
      <c r="D114" s="7">
        <v>230354</v>
      </c>
      <c r="E114" s="7">
        <v>1102</v>
      </c>
      <c r="F114" s="7">
        <v>229252</v>
      </c>
      <c r="G114" s="7">
        <v>615777</v>
      </c>
      <c r="H114" s="7">
        <v>2946</v>
      </c>
      <c r="I114" s="7">
        <v>374087</v>
      </c>
      <c r="J114" s="6" t="s">
        <v>257</v>
      </c>
      <c r="K114" s="6" t="s">
        <v>257</v>
      </c>
      <c r="L114" s="8">
        <v>0.46800000000000003</v>
      </c>
      <c r="M114" s="8">
        <v>0.99519999999999997</v>
      </c>
      <c r="N114" s="8">
        <v>0.38300000000000001</v>
      </c>
      <c r="O114" s="9">
        <f t="shared" si="1"/>
        <v>0.61577654395902559</v>
      </c>
      <c r="P114" s="11" t="s">
        <v>254</v>
      </c>
    </row>
    <row r="115" spans="1:16" x14ac:dyDescent="0.3">
      <c r="A115" s="6">
        <v>114</v>
      </c>
      <c r="B115" s="6" t="s">
        <v>235</v>
      </c>
      <c r="C115" s="6" t="s">
        <v>114</v>
      </c>
      <c r="D115" s="7">
        <v>218970</v>
      </c>
      <c r="E115" s="6">
        <v>758</v>
      </c>
      <c r="F115" s="7">
        <v>218212</v>
      </c>
      <c r="G115" s="7">
        <v>29270</v>
      </c>
      <c r="H115" s="6">
        <v>101</v>
      </c>
      <c r="I115" s="7">
        <v>7481023</v>
      </c>
      <c r="J115" s="8">
        <v>-4.0000000000000001E-3</v>
      </c>
      <c r="K115" s="8">
        <v>3.1E-2</v>
      </c>
      <c r="L115" s="8">
        <v>0.77900000000000003</v>
      </c>
      <c r="M115" s="8">
        <v>0.99650000000000005</v>
      </c>
      <c r="N115" s="8">
        <v>0.97070000000000001</v>
      </c>
      <c r="O115" s="9">
        <f t="shared" si="1"/>
        <v>2.9270061059830987E-2</v>
      </c>
      <c r="P115" s="11" t="s">
        <v>256</v>
      </c>
    </row>
    <row r="116" spans="1:16" x14ac:dyDescent="0.3">
      <c r="A116" s="6">
        <v>115</v>
      </c>
      <c r="B116" s="6" t="s">
        <v>236</v>
      </c>
      <c r="C116" s="6" t="s">
        <v>115</v>
      </c>
      <c r="D116" s="7">
        <v>209906</v>
      </c>
      <c r="E116" s="6">
        <v>229</v>
      </c>
      <c r="F116" s="7">
        <v>209677</v>
      </c>
      <c r="G116" s="7">
        <v>607731</v>
      </c>
      <c r="H116" s="6">
        <v>663</v>
      </c>
      <c r="I116" s="7">
        <v>345393</v>
      </c>
      <c r="J116" s="8">
        <v>-7.1999999999999995E-2</v>
      </c>
      <c r="K116" s="8">
        <v>0.09</v>
      </c>
      <c r="L116" s="8">
        <v>0.7782</v>
      </c>
      <c r="M116" s="8">
        <v>0.99890000000000001</v>
      </c>
      <c r="N116" s="8">
        <v>0.39229999999999998</v>
      </c>
      <c r="O116" s="9">
        <f t="shared" si="1"/>
        <v>0.60773090363730586</v>
      </c>
      <c r="P116" s="11" t="s">
        <v>255</v>
      </c>
    </row>
    <row r="117" spans="1:16" x14ac:dyDescent="0.3">
      <c r="A117" s="6">
        <v>116</v>
      </c>
      <c r="B117" s="6" t="s">
        <v>235</v>
      </c>
      <c r="C117" s="6" t="s">
        <v>116</v>
      </c>
      <c r="D117" s="7">
        <v>206897</v>
      </c>
      <c r="E117" s="7">
        <v>2991</v>
      </c>
      <c r="F117" s="7">
        <v>196406</v>
      </c>
      <c r="G117" s="7">
        <v>30750</v>
      </c>
      <c r="H117" s="6">
        <v>445</v>
      </c>
      <c r="I117" s="7">
        <v>6728271</v>
      </c>
      <c r="J117" s="8">
        <v>-8.5999999999999993E-2</v>
      </c>
      <c r="K117" s="8">
        <v>6.7000000000000004E-2</v>
      </c>
      <c r="L117" s="8">
        <v>0.24970000000000001</v>
      </c>
      <c r="M117" s="8">
        <v>0.98550000000000004</v>
      </c>
      <c r="N117" s="8">
        <v>0.96930000000000005</v>
      </c>
      <c r="O117" s="9">
        <f t="shared" si="1"/>
        <v>3.0750396349968661E-2</v>
      </c>
      <c r="P117" s="11" t="s">
        <v>255</v>
      </c>
    </row>
    <row r="118" spans="1:16" x14ac:dyDescent="0.3">
      <c r="A118" s="6">
        <v>117</v>
      </c>
      <c r="B118" s="6" t="s">
        <v>234</v>
      </c>
      <c r="C118" s="6" t="s">
        <v>117</v>
      </c>
      <c r="D118" s="7">
        <v>203235</v>
      </c>
      <c r="E118" s="7">
        <v>1021</v>
      </c>
      <c r="F118" s="7">
        <v>202214</v>
      </c>
      <c r="G118" s="7">
        <v>508349</v>
      </c>
      <c r="H118" s="7">
        <v>2554</v>
      </c>
      <c r="I118" s="7">
        <v>399794</v>
      </c>
      <c r="J118" s="6" t="s">
        <v>257</v>
      </c>
      <c r="K118" s="6" t="s">
        <v>257</v>
      </c>
      <c r="L118" s="8">
        <v>0.47899999999999998</v>
      </c>
      <c r="M118" s="8">
        <v>0.995</v>
      </c>
      <c r="N118" s="8">
        <v>0.49199999999999999</v>
      </c>
      <c r="O118" s="9">
        <f t="shared" si="1"/>
        <v>0.50834929988944311</v>
      </c>
      <c r="P118" s="11" t="s">
        <v>254</v>
      </c>
    </row>
    <row r="119" spans="1:16" x14ac:dyDescent="0.3">
      <c r="A119" s="6">
        <v>118</v>
      </c>
      <c r="B119" s="6" t="s">
        <v>234</v>
      </c>
      <c r="C119" s="6" t="s">
        <v>118</v>
      </c>
      <c r="D119" s="7">
        <v>201855</v>
      </c>
      <c r="E119" s="7">
        <v>4230</v>
      </c>
      <c r="F119" s="7">
        <v>179410</v>
      </c>
      <c r="G119" s="7">
        <v>30816</v>
      </c>
      <c r="H119" s="6">
        <v>646</v>
      </c>
      <c r="I119" s="7">
        <v>6550389</v>
      </c>
      <c r="J119" s="8">
        <v>-7.0000000000000007E-2</v>
      </c>
      <c r="K119" s="8">
        <v>7.2999999999999995E-2</v>
      </c>
      <c r="L119" s="8">
        <v>0.74199999999999999</v>
      </c>
      <c r="M119" s="8">
        <v>0.97899999999999998</v>
      </c>
      <c r="N119" s="8">
        <v>0.96919999999999995</v>
      </c>
      <c r="O119" s="9">
        <f t="shared" si="1"/>
        <v>3.0815727127045431E-2</v>
      </c>
      <c r="P119" s="11" t="s">
        <v>255</v>
      </c>
    </row>
    <row r="120" spans="1:16" x14ac:dyDescent="0.3">
      <c r="A120" s="6">
        <v>119</v>
      </c>
      <c r="B120" s="6" t="s">
        <v>234</v>
      </c>
      <c r="C120" s="6" t="s">
        <v>119</v>
      </c>
      <c r="D120" s="7">
        <v>191496</v>
      </c>
      <c r="E120" s="7">
        <v>4390</v>
      </c>
      <c r="F120" s="7">
        <v>187078</v>
      </c>
      <c r="G120" s="7">
        <v>136143</v>
      </c>
      <c r="H120" s="7">
        <v>3121</v>
      </c>
      <c r="I120" s="7">
        <v>1406585</v>
      </c>
      <c r="J120" s="8">
        <v>-7.5999999999999998E-2</v>
      </c>
      <c r="K120" s="8">
        <v>0.06</v>
      </c>
      <c r="L120" s="8">
        <v>0.50429999999999997</v>
      </c>
      <c r="M120" s="8">
        <v>0.97709999999999997</v>
      </c>
      <c r="N120" s="8">
        <v>0.86399999999999999</v>
      </c>
      <c r="O120" s="9">
        <f t="shared" si="1"/>
        <v>0.13614250116416712</v>
      </c>
      <c r="P120" s="11" t="s">
        <v>254</v>
      </c>
    </row>
    <row r="121" spans="1:16" x14ac:dyDescent="0.3">
      <c r="A121" s="6">
        <v>120</v>
      </c>
      <c r="B121" s="6" t="s">
        <v>235</v>
      </c>
      <c r="C121" s="6" t="s">
        <v>120</v>
      </c>
      <c r="D121" s="7">
        <v>186694</v>
      </c>
      <c r="E121" s="6">
        <v>316</v>
      </c>
      <c r="F121" s="7">
        <v>163687</v>
      </c>
      <c r="G121" s="7">
        <v>345100</v>
      </c>
      <c r="H121" s="6">
        <v>584</v>
      </c>
      <c r="I121" s="7">
        <v>540985</v>
      </c>
      <c r="J121" s="8">
        <v>-0.33500000000000002</v>
      </c>
      <c r="K121" s="8">
        <v>7.9000000000000001E-2</v>
      </c>
      <c r="L121" s="8">
        <v>0.70599999999999996</v>
      </c>
      <c r="M121" s="8">
        <v>0.99829999999999997</v>
      </c>
      <c r="N121" s="8">
        <v>0.65500000000000003</v>
      </c>
      <c r="O121" s="9">
        <f t="shared" si="1"/>
        <v>0.34510014140872669</v>
      </c>
      <c r="P121" s="11" t="s">
        <v>255</v>
      </c>
    </row>
    <row r="122" spans="1:16" x14ac:dyDescent="0.3">
      <c r="A122" s="6">
        <v>121</v>
      </c>
      <c r="B122" s="6" t="s">
        <v>240</v>
      </c>
      <c r="C122" s="6" t="s">
        <v>121</v>
      </c>
      <c r="D122" s="7">
        <v>172389</v>
      </c>
      <c r="E122" s="7">
        <v>4106</v>
      </c>
      <c r="F122" s="7">
        <v>167099</v>
      </c>
      <c r="G122" s="7">
        <v>65451</v>
      </c>
      <c r="H122" s="7">
        <v>1559</v>
      </c>
      <c r="I122" s="7">
        <v>2633874</v>
      </c>
      <c r="J122" s="8">
        <v>-6.5000000000000002E-2</v>
      </c>
      <c r="K122" s="8">
        <v>7.0999999999999994E-2</v>
      </c>
      <c r="L122" s="8">
        <v>0.23499999999999999</v>
      </c>
      <c r="M122" s="8">
        <v>0.97619999999999996</v>
      </c>
      <c r="N122" s="8">
        <v>0.9345</v>
      </c>
      <c r="O122" s="9">
        <f t="shared" si="1"/>
        <v>6.545073910141487E-2</v>
      </c>
      <c r="P122" s="11" t="s">
        <v>254</v>
      </c>
    </row>
    <row r="123" spans="1:16" x14ac:dyDescent="0.3">
      <c r="A123" s="6">
        <v>122</v>
      </c>
      <c r="B123" s="6" t="s">
        <v>240</v>
      </c>
      <c r="C123" s="6" t="s">
        <v>122</v>
      </c>
      <c r="D123" s="7">
        <v>172149</v>
      </c>
      <c r="E123" s="7">
        <v>3632</v>
      </c>
      <c r="F123" s="7">
        <v>100431</v>
      </c>
      <c r="G123" s="7">
        <v>3554</v>
      </c>
      <c r="H123" s="6">
        <v>75</v>
      </c>
      <c r="I123" s="7">
        <v>48432863</v>
      </c>
      <c r="J123" s="8">
        <v>2.9000000000000001E-2</v>
      </c>
      <c r="K123" s="8">
        <v>6.6000000000000003E-2</v>
      </c>
      <c r="L123" s="8">
        <v>0.4234</v>
      </c>
      <c r="M123" s="8">
        <v>0.97889999999999999</v>
      </c>
      <c r="N123" s="8">
        <v>0.99639999999999995</v>
      </c>
      <c r="O123" s="9">
        <f t="shared" si="1"/>
        <v>3.5543841378941404E-3</v>
      </c>
      <c r="P123" s="11" t="s">
        <v>256</v>
      </c>
    </row>
    <row r="124" spans="1:16" x14ac:dyDescent="0.3">
      <c r="A124" s="6">
        <v>123</v>
      </c>
      <c r="B124" s="6" t="s">
        <v>240</v>
      </c>
      <c r="C124" s="6" t="s">
        <v>123</v>
      </c>
      <c r="D124" s="7">
        <v>171889</v>
      </c>
      <c r="E124" s="7">
        <v>1462</v>
      </c>
      <c r="F124" s="7">
        <v>170425</v>
      </c>
      <c r="G124" s="7">
        <v>5306</v>
      </c>
      <c r="H124" s="6">
        <v>45</v>
      </c>
      <c r="I124" s="7">
        <v>32395450</v>
      </c>
      <c r="J124" s="8">
        <v>5.0000000000000001E-3</v>
      </c>
      <c r="K124" s="8">
        <v>3.5999999999999997E-2</v>
      </c>
      <c r="L124" s="8">
        <v>0.41820000000000002</v>
      </c>
      <c r="M124" s="8">
        <v>0.99150000000000005</v>
      </c>
      <c r="N124" s="8">
        <v>0.99470000000000003</v>
      </c>
      <c r="O124" s="9">
        <f t="shared" si="1"/>
        <v>5.3059611766467204E-3</v>
      </c>
      <c r="P124" s="11" t="s">
        <v>256</v>
      </c>
    </row>
    <row r="125" spans="1:16" x14ac:dyDescent="0.3">
      <c r="A125" s="6">
        <v>124</v>
      </c>
      <c r="B125" s="6" t="s">
        <v>234</v>
      </c>
      <c r="C125" s="6" t="s">
        <v>124</v>
      </c>
      <c r="D125" s="7">
        <v>156869</v>
      </c>
      <c r="E125" s="7">
        <v>3756</v>
      </c>
      <c r="F125" s="7">
        <v>153113</v>
      </c>
      <c r="G125" s="7">
        <v>52551</v>
      </c>
      <c r="H125" s="7">
        <v>1258</v>
      </c>
      <c r="I125" s="7">
        <v>2985094</v>
      </c>
      <c r="J125" s="8">
        <v>-0.10199999999999999</v>
      </c>
      <c r="K125" s="8">
        <v>6.3E-2</v>
      </c>
      <c r="L125" s="8">
        <v>0.30280000000000001</v>
      </c>
      <c r="M125" s="8">
        <v>0.97599999999999998</v>
      </c>
      <c r="N125" s="8">
        <v>0.94750000000000001</v>
      </c>
      <c r="O125" s="9">
        <f t="shared" si="1"/>
        <v>5.2550773945477094E-2</v>
      </c>
      <c r="P125" s="11" t="s">
        <v>254</v>
      </c>
    </row>
    <row r="126" spans="1:16" x14ac:dyDescent="0.3">
      <c r="A126" s="6">
        <v>125</v>
      </c>
      <c r="B126" s="6" t="s">
        <v>235</v>
      </c>
      <c r="C126" s="6" t="s">
        <v>125</v>
      </c>
      <c r="D126" s="7">
        <v>139103</v>
      </c>
      <c r="E126" s="7">
        <v>3056</v>
      </c>
      <c r="F126" s="7">
        <v>136044</v>
      </c>
      <c r="G126" s="7">
        <v>8102</v>
      </c>
      <c r="H126" s="6">
        <v>178</v>
      </c>
      <c r="I126" s="7">
        <v>17168639</v>
      </c>
      <c r="J126" s="8">
        <v>-3.1E-2</v>
      </c>
      <c r="K126" s="8">
        <v>5.7000000000000002E-2</v>
      </c>
      <c r="L126" s="8">
        <v>0.89039999999999997</v>
      </c>
      <c r="M126" s="8">
        <v>0.97809999999999997</v>
      </c>
      <c r="N126" s="8">
        <v>0.9919</v>
      </c>
      <c r="O126" s="9">
        <f t="shared" si="1"/>
        <v>8.1021564959225939E-3</v>
      </c>
      <c r="P126" s="11" t="s">
        <v>256</v>
      </c>
    </row>
    <row r="127" spans="1:16" x14ac:dyDescent="0.3">
      <c r="A127" s="6">
        <v>126</v>
      </c>
      <c r="B127" s="6" t="s">
        <v>240</v>
      </c>
      <c r="C127" s="6" t="s">
        <v>126</v>
      </c>
      <c r="D127" s="7">
        <v>133518</v>
      </c>
      <c r="E127" s="7">
        <v>1468</v>
      </c>
      <c r="F127" s="7">
        <v>132039</v>
      </c>
      <c r="G127" s="7">
        <v>9817</v>
      </c>
      <c r="H127" s="6">
        <v>108</v>
      </c>
      <c r="I127" s="7">
        <v>13600464</v>
      </c>
      <c r="J127" s="8">
        <v>-3.4000000000000002E-2</v>
      </c>
      <c r="K127" s="8">
        <v>8.8999999999999996E-2</v>
      </c>
      <c r="L127" s="8">
        <v>0.7974</v>
      </c>
      <c r="M127" s="8">
        <v>0.98899999999999999</v>
      </c>
      <c r="N127" s="8">
        <v>0.99019999999999997</v>
      </c>
      <c r="O127" s="9">
        <f t="shared" si="1"/>
        <v>9.8171650614273156E-3</v>
      </c>
      <c r="P127" s="11" t="s">
        <v>256</v>
      </c>
    </row>
    <row r="128" spans="1:16" x14ac:dyDescent="0.3">
      <c r="A128" s="6">
        <v>127</v>
      </c>
      <c r="B128" s="6" t="s">
        <v>240</v>
      </c>
      <c r="C128" s="6" t="s">
        <v>127</v>
      </c>
      <c r="D128" s="7">
        <v>125379</v>
      </c>
      <c r="E128" s="7">
        <v>1974</v>
      </c>
      <c r="F128" s="7">
        <v>123280</v>
      </c>
      <c r="G128" s="7">
        <v>4492</v>
      </c>
      <c r="H128" s="6">
        <v>71</v>
      </c>
      <c r="I128" s="7">
        <v>27911548</v>
      </c>
      <c r="J128" s="8">
        <v>-2.4E-2</v>
      </c>
      <c r="K128" s="8">
        <v>4.3999999999999997E-2</v>
      </c>
      <c r="L128" s="8">
        <v>0.1358</v>
      </c>
      <c r="M128" s="8">
        <v>0.98419999999999996</v>
      </c>
      <c r="N128" s="8">
        <v>0.99550000000000005</v>
      </c>
      <c r="O128" s="9">
        <f t="shared" si="1"/>
        <v>4.4920116935112308E-3</v>
      </c>
      <c r="P128" s="11" t="s">
        <v>256</v>
      </c>
    </row>
    <row r="129" spans="1:16" x14ac:dyDescent="0.3">
      <c r="A129" s="6">
        <v>128</v>
      </c>
      <c r="B129" s="6" t="s">
        <v>236</v>
      </c>
      <c r="C129" s="6" t="s">
        <v>128</v>
      </c>
      <c r="D129" s="7">
        <v>121420</v>
      </c>
      <c r="E129" s="6">
        <v>885</v>
      </c>
      <c r="F129" s="7">
        <v>120149</v>
      </c>
      <c r="G129" s="7">
        <v>273448</v>
      </c>
      <c r="H129" s="7">
        <v>1993</v>
      </c>
      <c r="I129" s="7">
        <v>444033</v>
      </c>
      <c r="J129" s="8">
        <v>-7.9000000000000001E-2</v>
      </c>
      <c r="K129" s="8">
        <v>9.0999999999999998E-2</v>
      </c>
      <c r="L129" s="8">
        <v>0.83650000000000002</v>
      </c>
      <c r="M129" s="8">
        <v>0.99270000000000003</v>
      </c>
      <c r="N129" s="8">
        <v>0.72650000000000003</v>
      </c>
      <c r="O129" s="9">
        <f t="shared" si="1"/>
        <v>0.27344814461988187</v>
      </c>
      <c r="P129" s="11" t="s">
        <v>254</v>
      </c>
    </row>
    <row r="130" spans="1:16" x14ac:dyDescent="0.3">
      <c r="A130" s="6">
        <v>129</v>
      </c>
      <c r="B130" s="6" t="s">
        <v>234</v>
      </c>
      <c r="C130" s="6" t="s">
        <v>129</v>
      </c>
      <c r="D130" s="7">
        <v>110578</v>
      </c>
      <c r="E130" s="6">
        <v>648</v>
      </c>
      <c r="F130" s="7">
        <v>108647</v>
      </c>
      <c r="G130" s="7">
        <v>383921</v>
      </c>
      <c r="H130" s="7">
        <v>2250</v>
      </c>
      <c r="I130" s="7">
        <v>288023</v>
      </c>
      <c r="J130" s="8">
        <v>-0.18</v>
      </c>
      <c r="K130" s="8">
        <v>8.8999999999999996E-2</v>
      </c>
      <c r="L130" s="8">
        <v>0.627</v>
      </c>
      <c r="M130" s="8">
        <v>0.99409999999999998</v>
      </c>
      <c r="N130" s="8">
        <v>0.61609999999999998</v>
      </c>
      <c r="O130" s="9">
        <f t="shared" si="1"/>
        <v>0.38392072855292808</v>
      </c>
      <c r="P130" s="11" t="s">
        <v>254</v>
      </c>
    </row>
    <row r="131" spans="1:16" x14ac:dyDescent="0.3">
      <c r="A131" s="6">
        <v>130</v>
      </c>
      <c r="B131" s="6" t="s">
        <v>240</v>
      </c>
      <c r="C131" s="6" t="s">
        <v>130</v>
      </c>
      <c r="D131" s="7">
        <v>107327</v>
      </c>
      <c r="E131" s="7">
        <v>1937</v>
      </c>
      <c r="F131" s="7">
        <v>103419</v>
      </c>
      <c r="G131" s="7">
        <v>3064</v>
      </c>
      <c r="H131" s="6">
        <v>55</v>
      </c>
      <c r="I131" s="7">
        <v>35027343</v>
      </c>
      <c r="J131" s="8">
        <v>-5.6000000000000001E-2</v>
      </c>
      <c r="K131" s="8">
        <v>2.9000000000000001E-2</v>
      </c>
      <c r="L131" s="8">
        <v>0.46439999999999998</v>
      </c>
      <c r="M131" s="8">
        <v>0.98199999999999998</v>
      </c>
      <c r="N131" s="8">
        <v>0.99690000000000001</v>
      </c>
      <c r="O131" s="9">
        <f t="shared" ref="O131:O194" si="2">D131/I131</f>
        <v>3.0640919581025601E-3</v>
      </c>
      <c r="P131" s="11" t="s">
        <v>256</v>
      </c>
    </row>
    <row r="132" spans="1:16" x14ac:dyDescent="0.3">
      <c r="A132" s="6">
        <v>131</v>
      </c>
      <c r="B132" s="6" t="s">
        <v>236</v>
      </c>
      <c r="C132" s="6" t="s">
        <v>131</v>
      </c>
      <c r="D132" s="7">
        <v>101717</v>
      </c>
      <c r="E132" s="6">
        <v>228</v>
      </c>
      <c r="F132" s="7">
        <v>101321</v>
      </c>
      <c r="G132" s="7">
        <v>576421</v>
      </c>
      <c r="H132" s="7">
        <v>1292</v>
      </c>
      <c r="I132" s="7">
        <v>176463</v>
      </c>
      <c r="J132" s="6" t="s">
        <v>257</v>
      </c>
      <c r="K132" s="6" t="s">
        <v>257</v>
      </c>
      <c r="L132" s="6" t="s">
        <v>244</v>
      </c>
      <c r="M132" s="8">
        <v>0.99780000000000002</v>
      </c>
      <c r="N132" s="8">
        <v>0.42470000000000002</v>
      </c>
      <c r="O132" s="9">
        <f t="shared" si="2"/>
        <v>0.57642111944146934</v>
      </c>
      <c r="P132" s="11" t="s">
        <v>254</v>
      </c>
    </row>
    <row r="133" spans="1:16" x14ac:dyDescent="0.3">
      <c r="A133" s="6">
        <v>132</v>
      </c>
      <c r="B133" s="6" t="s">
        <v>240</v>
      </c>
      <c r="C133" s="6" t="s">
        <v>132</v>
      </c>
      <c r="D133" s="7">
        <v>99338</v>
      </c>
      <c r="E133" s="7">
        <v>1468</v>
      </c>
      <c r="F133" s="7">
        <v>84489</v>
      </c>
      <c r="G133" s="7">
        <v>1043</v>
      </c>
      <c r="H133" s="6">
        <v>15</v>
      </c>
      <c r="I133" s="7">
        <v>95240792</v>
      </c>
      <c r="J133" s="8">
        <v>1.7000000000000001E-2</v>
      </c>
      <c r="K133" s="8">
        <v>3.7999999999999999E-2</v>
      </c>
      <c r="L133" s="8">
        <v>0.16650000000000001</v>
      </c>
      <c r="M133" s="8">
        <v>0.98519999999999996</v>
      </c>
      <c r="N133" s="8">
        <v>0.999</v>
      </c>
      <c r="O133" s="9">
        <f t="shared" si="2"/>
        <v>1.0430194658608046E-3</v>
      </c>
      <c r="P133" s="11" t="s">
        <v>256</v>
      </c>
    </row>
    <row r="134" spans="1:16" x14ac:dyDescent="0.3">
      <c r="A134" s="6">
        <v>133</v>
      </c>
      <c r="B134" s="6" t="s">
        <v>237</v>
      </c>
      <c r="C134" s="6" t="s">
        <v>133</v>
      </c>
      <c r="D134" s="7">
        <v>98041</v>
      </c>
      <c r="E134" s="6">
        <v>420</v>
      </c>
      <c r="F134" s="7">
        <v>11254</v>
      </c>
      <c r="G134" s="7">
        <v>312065</v>
      </c>
      <c r="H134" s="7">
        <v>1337</v>
      </c>
      <c r="I134" s="7">
        <v>314169</v>
      </c>
      <c r="J134" s="6" t="s">
        <v>257</v>
      </c>
      <c r="K134" s="6" t="s">
        <v>257</v>
      </c>
      <c r="L134" s="8">
        <v>0.45600000000000002</v>
      </c>
      <c r="M134" s="8">
        <v>0.99570000000000003</v>
      </c>
      <c r="N134" s="8">
        <v>0.68789999999999996</v>
      </c>
      <c r="O134" s="9">
        <f t="shared" si="2"/>
        <v>0.31206452578071037</v>
      </c>
      <c r="P134" s="11" t="s">
        <v>254</v>
      </c>
    </row>
    <row r="135" spans="1:16" x14ac:dyDescent="0.3">
      <c r="A135" s="6">
        <v>134</v>
      </c>
      <c r="B135" s="6" t="s">
        <v>240</v>
      </c>
      <c r="C135" s="6" t="s">
        <v>134</v>
      </c>
      <c r="D135" s="7">
        <v>89535</v>
      </c>
      <c r="E135" s="7">
        <v>2686</v>
      </c>
      <c r="F135" s="7">
        <v>86849</v>
      </c>
      <c r="G135" s="7">
        <v>4437</v>
      </c>
      <c r="H135" s="6">
        <v>133</v>
      </c>
      <c r="I135" s="7">
        <v>20180839</v>
      </c>
      <c r="J135" s="8">
        <v>8.0000000000000002E-3</v>
      </c>
      <c r="K135" s="8">
        <v>9.0999999999999998E-2</v>
      </c>
      <c r="L135" s="8">
        <v>0.26419999999999999</v>
      </c>
      <c r="M135" s="8">
        <v>0.97</v>
      </c>
      <c r="N135" s="8">
        <v>0.99560000000000004</v>
      </c>
      <c r="O135" s="9">
        <f t="shared" si="2"/>
        <v>4.4366341756157911E-3</v>
      </c>
      <c r="P135" s="11" t="s">
        <v>256</v>
      </c>
    </row>
    <row r="136" spans="1:16" x14ac:dyDescent="0.3">
      <c r="A136" s="6">
        <v>135</v>
      </c>
      <c r="B136" s="6" t="s">
        <v>240</v>
      </c>
      <c r="C136" s="6" t="s">
        <v>135</v>
      </c>
      <c r="D136" s="7">
        <v>89053</v>
      </c>
      <c r="E136" s="7">
        <v>1971</v>
      </c>
      <c r="F136" s="7">
        <v>87024</v>
      </c>
      <c r="G136" s="7">
        <v>5044</v>
      </c>
      <c r="H136" s="6">
        <v>112</v>
      </c>
      <c r="I136" s="7">
        <v>17653671</v>
      </c>
      <c r="J136" s="8">
        <v>1.2999999999999999E-2</v>
      </c>
      <c r="K136" s="8">
        <v>5.1999999999999998E-2</v>
      </c>
      <c r="L136" s="8">
        <v>0.15210000000000001</v>
      </c>
      <c r="M136" s="8">
        <v>0.97789999999999999</v>
      </c>
      <c r="N136" s="8">
        <v>0.995</v>
      </c>
      <c r="O136" s="9">
        <f t="shared" si="2"/>
        <v>5.0444465629839825E-3</v>
      </c>
      <c r="P136" s="11" t="s">
        <v>256</v>
      </c>
    </row>
    <row r="137" spans="1:16" x14ac:dyDescent="0.3">
      <c r="A137" s="6">
        <v>136</v>
      </c>
      <c r="B137" s="6" t="s">
        <v>240</v>
      </c>
      <c r="C137" s="6" t="s">
        <v>136</v>
      </c>
      <c r="D137" s="7">
        <v>88384</v>
      </c>
      <c r="E137" s="6">
        <v>835</v>
      </c>
      <c r="F137" s="7">
        <v>87497</v>
      </c>
      <c r="G137" s="7">
        <v>3186</v>
      </c>
      <c r="H137" s="6">
        <v>30</v>
      </c>
      <c r="I137" s="7">
        <v>27742298</v>
      </c>
      <c r="J137" s="8">
        <v>0.02</v>
      </c>
      <c r="K137" s="8">
        <v>4.2000000000000003E-2</v>
      </c>
      <c r="L137" s="8">
        <v>0.44640000000000002</v>
      </c>
      <c r="M137" s="8">
        <v>0.99050000000000005</v>
      </c>
      <c r="N137" s="8">
        <v>0.99680000000000002</v>
      </c>
      <c r="O137" s="9">
        <f t="shared" si="2"/>
        <v>3.1858932522460829E-3</v>
      </c>
      <c r="P137" s="11" t="s">
        <v>256</v>
      </c>
    </row>
    <row r="138" spans="1:16" x14ac:dyDescent="0.3">
      <c r="A138" s="6">
        <v>137</v>
      </c>
      <c r="B138" s="6" t="s">
        <v>237</v>
      </c>
      <c r="C138" s="6" t="s">
        <v>137</v>
      </c>
      <c r="D138" s="7">
        <v>82588</v>
      </c>
      <c r="E138" s="7">
        <v>1408</v>
      </c>
      <c r="F138" s="7">
        <v>81180</v>
      </c>
      <c r="G138" s="7">
        <v>138378</v>
      </c>
      <c r="H138" s="7">
        <v>2359</v>
      </c>
      <c r="I138" s="7">
        <v>596831</v>
      </c>
      <c r="J138" s="8">
        <v>-0.159</v>
      </c>
      <c r="K138" s="8">
        <v>6.9000000000000006E-2</v>
      </c>
      <c r="L138" s="8">
        <v>0.47099999999999997</v>
      </c>
      <c r="M138" s="8">
        <v>0.98299999999999998</v>
      </c>
      <c r="N138" s="8">
        <v>0.86170000000000002</v>
      </c>
      <c r="O138" s="9">
        <f t="shared" si="2"/>
        <v>0.13837753065775737</v>
      </c>
      <c r="P138" s="11" t="s">
        <v>254</v>
      </c>
    </row>
    <row r="139" spans="1:16" x14ac:dyDescent="0.3">
      <c r="A139" s="6">
        <v>138</v>
      </c>
      <c r="B139" s="6" t="s">
        <v>239</v>
      </c>
      <c r="C139" s="6" t="s">
        <v>138</v>
      </c>
      <c r="D139" s="7">
        <v>80064</v>
      </c>
      <c r="E139" s="6">
        <v>314</v>
      </c>
      <c r="F139" s="7">
        <v>79750</v>
      </c>
      <c r="G139" s="7">
        <v>275214</v>
      </c>
      <c r="H139" s="7">
        <v>1079</v>
      </c>
      <c r="I139" s="7">
        <v>290915</v>
      </c>
      <c r="J139" s="6" t="s">
        <v>257</v>
      </c>
      <c r="K139" s="6" t="s">
        <v>257</v>
      </c>
      <c r="L139" s="8">
        <v>0.74399999999999999</v>
      </c>
      <c r="M139" s="8">
        <v>0.99609999999999999</v>
      </c>
      <c r="N139" s="8">
        <v>0.7248</v>
      </c>
      <c r="O139" s="9">
        <f t="shared" si="2"/>
        <v>0.27521440970730282</v>
      </c>
      <c r="P139" s="11" t="s">
        <v>254</v>
      </c>
    </row>
    <row r="140" spans="1:16" x14ac:dyDescent="0.3">
      <c r="A140" s="6">
        <v>139</v>
      </c>
      <c r="B140" s="6" t="s">
        <v>239</v>
      </c>
      <c r="C140" s="6" t="s">
        <v>139</v>
      </c>
      <c r="D140" s="7">
        <v>79254</v>
      </c>
      <c r="E140" s="6">
        <v>650</v>
      </c>
      <c r="F140" s="7">
        <v>78604</v>
      </c>
      <c r="G140" s="7">
        <v>278902</v>
      </c>
      <c r="H140" s="7">
        <v>2287</v>
      </c>
      <c r="I140" s="7">
        <v>284164</v>
      </c>
      <c r="J140" s="6" t="s">
        <v>257</v>
      </c>
      <c r="K140" s="6" t="s">
        <v>257</v>
      </c>
      <c r="L140" s="8">
        <v>0.78700000000000003</v>
      </c>
      <c r="M140" s="8">
        <v>0.99180000000000001</v>
      </c>
      <c r="N140" s="8">
        <v>0.72089999999999999</v>
      </c>
      <c r="O140" s="9">
        <f t="shared" si="2"/>
        <v>0.27890232401007869</v>
      </c>
      <c r="P140" s="11" t="s">
        <v>254</v>
      </c>
    </row>
    <row r="141" spans="1:16" x14ac:dyDescent="0.3">
      <c r="A141" s="6">
        <v>140</v>
      </c>
      <c r="B141" s="6" t="s">
        <v>240</v>
      </c>
      <c r="C141" s="6" t="s">
        <v>140</v>
      </c>
      <c r="D141" s="7">
        <v>75191</v>
      </c>
      <c r="E141" s="7">
        <v>1427</v>
      </c>
      <c r="F141" s="7">
        <v>73116</v>
      </c>
      <c r="G141" s="7">
        <v>63462</v>
      </c>
      <c r="H141" s="7">
        <v>1204</v>
      </c>
      <c r="I141" s="7">
        <v>1184817</v>
      </c>
      <c r="J141" s="8">
        <v>-1.9E-2</v>
      </c>
      <c r="K141" s="8">
        <v>6.4000000000000001E-2</v>
      </c>
      <c r="L141" s="8">
        <v>0.29699999999999999</v>
      </c>
      <c r="M141" s="8">
        <v>0.98099999999999998</v>
      </c>
      <c r="N141" s="8">
        <v>0.9365</v>
      </c>
      <c r="O141" s="9">
        <f t="shared" si="2"/>
        <v>6.3462121154574933E-2</v>
      </c>
      <c r="P141" s="11" t="s">
        <v>254</v>
      </c>
    </row>
    <row r="142" spans="1:16" x14ac:dyDescent="0.3">
      <c r="A142" s="6">
        <v>141</v>
      </c>
      <c r="B142" s="6" t="s">
        <v>237</v>
      </c>
      <c r="C142" s="6" t="s">
        <v>141</v>
      </c>
      <c r="D142" s="7">
        <v>74137</v>
      </c>
      <c r="E142" s="7">
        <v>1300</v>
      </c>
      <c r="F142" s="7">
        <v>72013</v>
      </c>
      <c r="G142" s="7">
        <v>93366</v>
      </c>
      <c r="H142" s="7">
        <v>1637</v>
      </c>
      <c r="I142" s="7">
        <v>794045</v>
      </c>
      <c r="J142" s="8">
        <v>0.435</v>
      </c>
      <c r="K142" s="8">
        <v>5.3999999999999999E-2</v>
      </c>
      <c r="L142" s="8">
        <v>0.53300000000000003</v>
      </c>
      <c r="M142" s="8">
        <v>0.98250000000000004</v>
      </c>
      <c r="N142" s="8">
        <v>0.90669999999999995</v>
      </c>
      <c r="O142" s="9">
        <f t="shared" si="2"/>
        <v>9.3366244986115399E-2</v>
      </c>
      <c r="P142" s="11" t="s">
        <v>254</v>
      </c>
    </row>
    <row r="143" spans="1:16" x14ac:dyDescent="0.3">
      <c r="A143" s="6">
        <v>142</v>
      </c>
      <c r="B143" s="6" t="s">
        <v>234</v>
      </c>
      <c r="C143" s="6" t="s">
        <v>142</v>
      </c>
      <c r="D143" s="7">
        <v>71409</v>
      </c>
      <c r="E143" s="6">
        <v>688</v>
      </c>
      <c r="F143" s="7">
        <v>70721</v>
      </c>
      <c r="G143" s="7">
        <v>173243</v>
      </c>
      <c r="H143" s="7">
        <v>1669</v>
      </c>
      <c r="I143" s="7">
        <v>412190</v>
      </c>
      <c r="J143" s="8">
        <v>-0.13300000000000001</v>
      </c>
      <c r="K143" s="8">
        <v>5.7000000000000002E-2</v>
      </c>
      <c r="L143" s="8">
        <v>0.46200000000000002</v>
      </c>
      <c r="M143" s="8">
        <v>0.99039999999999995</v>
      </c>
      <c r="N143" s="8">
        <v>0.82679999999999998</v>
      </c>
      <c r="O143" s="9">
        <f t="shared" si="2"/>
        <v>0.17324292195346805</v>
      </c>
      <c r="P143" s="11" t="s">
        <v>254</v>
      </c>
    </row>
    <row r="144" spans="1:16" x14ac:dyDescent="0.3">
      <c r="A144" s="6">
        <v>143</v>
      </c>
      <c r="B144" s="6" t="s">
        <v>239</v>
      </c>
      <c r="C144" s="6" t="s">
        <v>143</v>
      </c>
      <c r="D144" s="7">
        <v>69117</v>
      </c>
      <c r="E144" s="6">
        <v>885</v>
      </c>
      <c r="F144" s="7">
        <v>67226</v>
      </c>
      <c r="G144" s="7">
        <v>75997</v>
      </c>
      <c r="H144" s="6">
        <v>973</v>
      </c>
      <c r="I144" s="7">
        <v>909466</v>
      </c>
      <c r="J144" s="8">
        <v>-0.19</v>
      </c>
      <c r="K144" s="8">
        <v>4.8000000000000001E-2</v>
      </c>
      <c r="L144" s="8">
        <v>0.79400000000000004</v>
      </c>
      <c r="M144" s="8">
        <v>0.98719999999999997</v>
      </c>
      <c r="N144" s="8">
        <v>0.92400000000000004</v>
      </c>
      <c r="O144" s="9">
        <f t="shared" si="2"/>
        <v>7.5997343496073524E-2</v>
      </c>
      <c r="P144" s="11" t="s">
        <v>254</v>
      </c>
    </row>
    <row r="145" spans="1:16" x14ac:dyDescent="0.3">
      <c r="A145" s="6">
        <v>144</v>
      </c>
      <c r="B145" s="6" t="s">
        <v>240</v>
      </c>
      <c r="C145" s="6" t="s">
        <v>144</v>
      </c>
      <c r="D145" s="7">
        <v>68486</v>
      </c>
      <c r="E145" s="7">
        <v>1426</v>
      </c>
      <c r="F145" s="7">
        <v>66862</v>
      </c>
      <c r="G145" s="7">
        <v>2347</v>
      </c>
      <c r="H145" s="6">
        <v>49</v>
      </c>
      <c r="I145" s="7">
        <v>29178077</v>
      </c>
      <c r="J145" s="8">
        <v>-4.2000000000000003E-2</v>
      </c>
      <c r="K145" s="8">
        <v>5.6000000000000001E-2</v>
      </c>
      <c r="L145" s="8">
        <v>8.8999999999999996E-2</v>
      </c>
      <c r="M145" s="8">
        <v>0.97919999999999996</v>
      </c>
      <c r="N145" s="8">
        <v>0.99770000000000003</v>
      </c>
      <c r="O145" s="9">
        <f t="shared" si="2"/>
        <v>2.3471731875956046E-3</v>
      </c>
      <c r="P145" s="11" t="s">
        <v>256</v>
      </c>
    </row>
    <row r="146" spans="1:16" x14ac:dyDescent="0.3">
      <c r="A146" s="6">
        <v>145</v>
      </c>
      <c r="B146" s="6" t="s">
        <v>240</v>
      </c>
      <c r="C146" s="6" t="s">
        <v>145</v>
      </c>
      <c r="D146" s="7">
        <v>64477</v>
      </c>
      <c r="E146" s="6">
        <v>417</v>
      </c>
      <c r="F146" s="7">
        <v>63755</v>
      </c>
      <c r="G146" s="7">
        <v>113580</v>
      </c>
      <c r="H146" s="6">
        <v>735</v>
      </c>
      <c r="I146" s="7">
        <v>567678</v>
      </c>
      <c r="J146" s="8">
        <v>-0.14799999999999999</v>
      </c>
      <c r="K146" s="8">
        <v>5.1999999999999998E-2</v>
      </c>
      <c r="L146" s="8">
        <v>0.73499999999999999</v>
      </c>
      <c r="M146" s="8">
        <v>0.99350000000000005</v>
      </c>
      <c r="N146" s="8">
        <v>0.88649999999999995</v>
      </c>
      <c r="O146" s="9">
        <f t="shared" si="2"/>
        <v>0.11358023386497275</v>
      </c>
      <c r="P146" s="11" t="s">
        <v>255</v>
      </c>
    </row>
    <row r="147" spans="1:16" x14ac:dyDescent="0.3">
      <c r="A147" s="6">
        <v>146</v>
      </c>
      <c r="B147" s="6" t="s">
        <v>240</v>
      </c>
      <c r="C147" s="6" t="s">
        <v>146</v>
      </c>
      <c r="D147" s="7">
        <v>63993</v>
      </c>
      <c r="E147" s="7">
        <v>5046</v>
      </c>
      <c r="F147" s="7">
        <v>58947</v>
      </c>
      <c r="G147" s="7">
        <v>1391</v>
      </c>
      <c r="H147" s="6">
        <v>110</v>
      </c>
      <c r="I147" s="7">
        <v>45992020</v>
      </c>
      <c r="J147" s="6" t="s">
        <v>257</v>
      </c>
      <c r="K147" s="8">
        <v>8.2000000000000003E-2</v>
      </c>
      <c r="L147" s="8">
        <v>0.30790000000000001</v>
      </c>
      <c r="M147" s="8">
        <v>0.92100000000000004</v>
      </c>
      <c r="N147" s="8">
        <v>0.99860000000000004</v>
      </c>
      <c r="O147" s="9">
        <f t="shared" si="2"/>
        <v>1.39139355044636E-3</v>
      </c>
      <c r="P147" s="11" t="s">
        <v>256</v>
      </c>
    </row>
    <row r="148" spans="1:16" x14ac:dyDescent="0.3">
      <c r="A148" s="6">
        <v>147</v>
      </c>
      <c r="B148" s="6" t="s">
        <v>240</v>
      </c>
      <c r="C148" s="6" t="s">
        <v>147</v>
      </c>
      <c r="D148" s="7">
        <v>63848</v>
      </c>
      <c r="E148" s="6">
        <v>997</v>
      </c>
      <c r="F148" s="7">
        <v>62471</v>
      </c>
      <c r="G148" s="7">
        <v>13025</v>
      </c>
      <c r="H148" s="6">
        <v>203</v>
      </c>
      <c r="I148" s="7">
        <v>4901981</v>
      </c>
      <c r="J148" s="8">
        <v>-1.4999999999999999E-2</v>
      </c>
      <c r="K148" s="8">
        <v>3.9E-2</v>
      </c>
      <c r="L148" s="8">
        <v>0.43149999999999999</v>
      </c>
      <c r="M148" s="8">
        <v>0.98440000000000005</v>
      </c>
      <c r="N148" s="8">
        <v>0.98699999999999999</v>
      </c>
      <c r="O148" s="9">
        <f t="shared" si="2"/>
        <v>1.3024938285154513E-2</v>
      </c>
      <c r="P148" s="11" t="s">
        <v>255</v>
      </c>
    </row>
    <row r="149" spans="1:16" x14ac:dyDescent="0.3">
      <c r="A149" s="6">
        <v>148</v>
      </c>
      <c r="B149" s="6" t="s">
        <v>235</v>
      </c>
      <c r="C149" s="6" t="s">
        <v>148</v>
      </c>
      <c r="D149" s="7">
        <v>62697</v>
      </c>
      <c r="E149" s="6">
        <v>21</v>
      </c>
      <c r="F149" s="7">
        <v>61564</v>
      </c>
      <c r="G149" s="7">
        <v>79571</v>
      </c>
      <c r="H149" s="6">
        <v>27</v>
      </c>
      <c r="I149" s="7">
        <v>787941</v>
      </c>
      <c r="J149" s="8">
        <v>-8.9999999999999993E-3</v>
      </c>
      <c r="K149" s="8">
        <v>4.8000000000000001E-2</v>
      </c>
      <c r="L149" s="8">
        <v>0.88600000000000001</v>
      </c>
      <c r="M149" s="8">
        <v>0.99970000000000003</v>
      </c>
      <c r="N149" s="8">
        <v>0.92049999999999998</v>
      </c>
      <c r="O149" s="9">
        <f t="shared" si="2"/>
        <v>7.9570678515269541E-2</v>
      </c>
      <c r="P149" s="11" t="s">
        <v>256</v>
      </c>
    </row>
    <row r="150" spans="1:16" x14ac:dyDescent="0.3">
      <c r="A150" s="6">
        <v>149</v>
      </c>
      <c r="B150" s="6" t="s">
        <v>235</v>
      </c>
      <c r="C150" s="6" t="s">
        <v>149</v>
      </c>
      <c r="D150" s="7">
        <v>57743</v>
      </c>
      <c r="E150" s="7">
        <v>3165</v>
      </c>
      <c r="F150" s="7">
        <v>54578</v>
      </c>
      <c r="G150" s="7">
        <v>2982</v>
      </c>
      <c r="H150" s="6">
        <v>163</v>
      </c>
      <c r="I150" s="7">
        <v>19364809</v>
      </c>
      <c r="J150" s="6" t="s">
        <v>257</v>
      </c>
      <c r="K150" s="6" t="s">
        <v>257</v>
      </c>
      <c r="L150" s="8">
        <v>0.1467</v>
      </c>
      <c r="M150" s="8">
        <v>0.94520000000000004</v>
      </c>
      <c r="N150" s="8">
        <v>0.997</v>
      </c>
      <c r="O150" s="9">
        <f t="shared" si="2"/>
        <v>2.9818522867950826E-3</v>
      </c>
      <c r="P150" s="11" t="s">
        <v>256</v>
      </c>
    </row>
    <row r="151" spans="1:16" x14ac:dyDescent="0.3">
      <c r="A151" s="6">
        <v>150</v>
      </c>
      <c r="B151" s="6" t="s">
        <v>240</v>
      </c>
      <c r="C151" s="6" t="s">
        <v>150</v>
      </c>
      <c r="D151" s="7">
        <v>54721</v>
      </c>
      <c r="E151" s="6">
        <v>38</v>
      </c>
      <c r="F151" s="7">
        <v>53569</v>
      </c>
      <c r="G151" s="7">
        <v>4334</v>
      </c>
      <c r="H151" s="6">
        <v>3</v>
      </c>
      <c r="I151" s="7">
        <v>12624840</v>
      </c>
      <c r="J151" s="8">
        <v>3.0000000000000001E-3</v>
      </c>
      <c r="K151" s="8">
        <v>4.4999999999999998E-2</v>
      </c>
      <c r="L151" s="6" t="s">
        <v>245</v>
      </c>
      <c r="M151" s="8">
        <v>0.99929999999999997</v>
      </c>
      <c r="N151" s="8">
        <v>0.99570000000000003</v>
      </c>
      <c r="O151" s="9">
        <f t="shared" si="2"/>
        <v>4.3343915645663632E-3</v>
      </c>
      <c r="P151" s="11" t="s">
        <v>256</v>
      </c>
    </row>
    <row r="152" spans="1:16" x14ac:dyDescent="0.3">
      <c r="A152" s="6">
        <v>151</v>
      </c>
      <c r="B152" s="6" t="s">
        <v>240</v>
      </c>
      <c r="C152" s="6" t="s">
        <v>151</v>
      </c>
      <c r="D152" s="7">
        <v>51220</v>
      </c>
      <c r="E152" s="6">
        <v>172</v>
      </c>
      <c r="F152" s="7">
        <v>51048</v>
      </c>
      <c r="G152" s="7">
        <v>515157</v>
      </c>
      <c r="H152" s="7">
        <v>1730</v>
      </c>
      <c r="I152" s="7">
        <v>99426</v>
      </c>
      <c r="J152" s="8">
        <v>-0.13600000000000001</v>
      </c>
      <c r="K152" s="8">
        <v>4.9000000000000002E-2</v>
      </c>
      <c r="L152" s="8">
        <v>0.80300000000000005</v>
      </c>
      <c r="M152" s="8">
        <v>0.99660000000000004</v>
      </c>
      <c r="N152" s="8">
        <v>0.4849</v>
      </c>
      <c r="O152" s="9">
        <f t="shared" si="2"/>
        <v>0.51515700118681229</v>
      </c>
      <c r="P152" s="11" t="s">
        <v>254</v>
      </c>
    </row>
    <row r="153" spans="1:16" x14ac:dyDescent="0.3">
      <c r="A153" s="6">
        <v>152</v>
      </c>
      <c r="B153" s="6" t="s">
        <v>240</v>
      </c>
      <c r="C153" s="6" t="s">
        <v>152</v>
      </c>
      <c r="D153" s="7">
        <v>49051</v>
      </c>
      <c r="E153" s="6">
        <v>307</v>
      </c>
      <c r="F153" s="7">
        <v>48674</v>
      </c>
      <c r="G153" s="7">
        <v>21038</v>
      </c>
      <c r="H153" s="6">
        <v>132</v>
      </c>
      <c r="I153" s="7">
        <v>2331533</v>
      </c>
      <c r="J153" s="8">
        <v>-1.0999999999999999E-2</v>
      </c>
      <c r="K153" s="8">
        <v>4.2999999999999997E-2</v>
      </c>
      <c r="L153" s="8">
        <v>0.52200000000000002</v>
      </c>
      <c r="M153" s="8">
        <v>0.99370000000000003</v>
      </c>
      <c r="N153" s="8">
        <v>0.97899999999999998</v>
      </c>
      <c r="O153" s="9">
        <f t="shared" si="2"/>
        <v>2.1038089531651493E-2</v>
      </c>
      <c r="P153" s="11" t="s">
        <v>256</v>
      </c>
    </row>
    <row r="154" spans="1:16" x14ac:dyDescent="0.3">
      <c r="A154" s="6">
        <v>153</v>
      </c>
      <c r="B154" s="6" t="s">
        <v>236</v>
      </c>
      <c r="C154" s="6" t="s">
        <v>153</v>
      </c>
      <c r="D154" s="7">
        <v>48015</v>
      </c>
      <c r="E154" s="6">
        <v>165</v>
      </c>
      <c r="F154" s="7">
        <v>47850</v>
      </c>
      <c r="G154" s="7">
        <v>619844</v>
      </c>
      <c r="H154" s="7">
        <v>2130</v>
      </c>
      <c r="I154" s="7">
        <v>77463</v>
      </c>
      <c r="J154" s="8">
        <v>-0.11799999999999999</v>
      </c>
      <c r="K154" s="8">
        <v>7.4999999999999997E-2</v>
      </c>
      <c r="L154" s="8">
        <v>0.67010000000000003</v>
      </c>
      <c r="M154" s="8">
        <v>0.99660000000000004</v>
      </c>
      <c r="N154" s="8">
        <v>0.38019999999999998</v>
      </c>
      <c r="O154" s="9">
        <f t="shared" si="2"/>
        <v>0.61984431276867669</v>
      </c>
      <c r="P154" s="11" t="s">
        <v>254</v>
      </c>
    </row>
    <row r="155" spans="1:16" x14ac:dyDescent="0.3">
      <c r="A155" s="6">
        <v>154</v>
      </c>
      <c r="B155" s="6" t="s">
        <v>239</v>
      </c>
      <c r="C155" s="6" t="s">
        <v>154</v>
      </c>
      <c r="D155" s="7">
        <v>46864</v>
      </c>
      <c r="E155" s="6">
        <v>670</v>
      </c>
      <c r="F155" s="7">
        <v>46168</v>
      </c>
      <c r="G155" s="7">
        <v>5043</v>
      </c>
      <c r="H155" s="6">
        <v>72</v>
      </c>
      <c r="I155" s="7">
        <v>9292169</v>
      </c>
      <c r="J155" s="8">
        <v>-3.7999999999999999E-2</v>
      </c>
      <c r="K155" s="8">
        <v>4.2999999999999997E-2</v>
      </c>
      <c r="L155" s="8">
        <v>0.04</v>
      </c>
      <c r="M155" s="8">
        <v>0.98570000000000002</v>
      </c>
      <c r="N155" s="8">
        <v>0.995</v>
      </c>
      <c r="O155" s="9">
        <f t="shared" si="2"/>
        <v>5.0433865333271493E-3</v>
      </c>
      <c r="P155" s="11" t="s">
        <v>256</v>
      </c>
    </row>
    <row r="156" spans="1:16" x14ac:dyDescent="0.3">
      <c r="A156" s="6">
        <v>155</v>
      </c>
      <c r="B156" s="6" t="s">
        <v>234</v>
      </c>
      <c r="C156" s="6" t="s">
        <v>155</v>
      </c>
      <c r="D156" s="7">
        <v>45986</v>
      </c>
      <c r="E156" s="6">
        <v>295</v>
      </c>
      <c r="F156" s="7">
        <v>44720</v>
      </c>
      <c r="G156" s="7">
        <v>277812</v>
      </c>
      <c r="H156" s="7">
        <v>1782</v>
      </c>
      <c r="I156" s="7">
        <v>165529</v>
      </c>
      <c r="J156" s="8">
        <v>-0.184</v>
      </c>
      <c r="K156" s="6" t="s">
        <v>257</v>
      </c>
      <c r="L156" s="8">
        <v>0.67600000000000005</v>
      </c>
      <c r="M156" s="8">
        <v>0.99360000000000004</v>
      </c>
      <c r="N156" s="8">
        <v>0.72189999999999999</v>
      </c>
      <c r="O156" s="9">
        <f t="shared" si="2"/>
        <v>0.27781234708117608</v>
      </c>
      <c r="P156" s="11" t="s">
        <v>254</v>
      </c>
    </row>
    <row r="157" spans="1:16" x14ac:dyDescent="0.3">
      <c r="A157" s="6">
        <v>156</v>
      </c>
      <c r="B157" s="6" t="s">
        <v>234</v>
      </c>
      <c r="C157" s="6" t="s">
        <v>156</v>
      </c>
      <c r="D157" s="7">
        <v>44224</v>
      </c>
      <c r="E157" s="6">
        <v>292</v>
      </c>
      <c r="F157" s="7">
        <v>42438</v>
      </c>
      <c r="G157" s="7">
        <v>410969</v>
      </c>
      <c r="H157" s="7">
        <v>2714</v>
      </c>
      <c r="I157" s="7">
        <v>107609</v>
      </c>
      <c r="J157" s="8">
        <v>-0.248</v>
      </c>
      <c r="K157" s="6" t="s">
        <v>257</v>
      </c>
      <c r="L157" s="8">
        <v>0.80900000000000005</v>
      </c>
      <c r="M157" s="8">
        <v>0.99339999999999995</v>
      </c>
      <c r="N157" s="8">
        <v>0.58809999999999996</v>
      </c>
      <c r="O157" s="9">
        <f t="shared" si="2"/>
        <v>0.41096934271297009</v>
      </c>
      <c r="P157" s="11" t="s">
        <v>254</v>
      </c>
    </row>
    <row r="158" spans="1:16" x14ac:dyDescent="0.3">
      <c r="A158" s="6">
        <v>157</v>
      </c>
      <c r="B158" s="6" t="s">
        <v>240</v>
      </c>
      <c r="C158" s="6" t="s">
        <v>157</v>
      </c>
      <c r="D158" s="7">
        <v>43223</v>
      </c>
      <c r="E158" s="6">
        <v>846</v>
      </c>
      <c r="F158" s="7">
        <v>42377</v>
      </c>
      <c r="G158" s="6">
        <v>683</v>
      </c>
      <c r="H158" s="6">
        <v>13</v>
      </c>
      <c r="I158" s="7">
        <v>63298550</v>
      </c>
      <c r="J158" s="8">
        <v>4.8000000000000001E-2</v>
      </c>
      <c r="K158" s="8">
        <v>4.1000000000000002E-2</v>
      </c>
      <c r="L158" s="8">
        <v>0.53210000000000002</v>
      </c>
      <c r="M158" s="8">
        <v>0.98040000000000005</v>
      </c>
      <c r="N158" s="8">
        <v>0.99929999999999997</v>
      </c>
      <c r="O158" s="9">
        <f t="shared" si="2"/>
        <v>6.8284344586092417E-4</v>
      </c>
      <c r="P158" s="11" t="s">
        <v>256</v>
      </c>
    </row>
    <row r="159" spans="1:16" x14ac:dyDescent="0.3">
      <c r="A159" s="6">
        <v>158</v>
      </c>
      <c r="B159" s="6" t="s">
        <v>240</v>
      </c>
      <c r="C159" s="6" t="s">
        <v>158</v>
      </c>
      <c r="D159" s="7">
        <v>43025</v>
      </c>
      <c r="E159" s="7">
        <v>1051</v>
      </c>
      <c r="F159" s="7">
        <v>41278</v>
      </c>
      <c r="G159" s="7">
        <v>33752</v>
      </c>
      <c r="H159" s="6">
        <v>824</v>
      </c>
      <c r="I159" s="7">
        <v>1274727</v>
      </c>
      <c r="J159" s="8">
        <v>-0.14899999999999999</v>
      </c>
      <c r="K159" s="8">
        <v>6.6000000000000003E-2</v>
      </c>
      <c r="L159" s="8">
        <v>0.88060000000000005</v>
      </c>
      <c r="M159" s="8">
        <v>0.97550000000000003</v>
      </c>
      <c r="N159" s="8">
        <v>0.96619999999999995</v>
      </c>
      <c r="O159" s="9">
        <f t="shared" si="2"/>
        <v>3.3752325007629085E-2</v>
      </c>
      <c r="P159" s="11" t="s">
        <v>255</v>
      </c>
    </row>
    <row r="160" spans="1:16" x14ac:dyDescent="0.3">
      <c r="A160" s="6">
        <v>159</v>
      </c>
      <c r="B160" s="6" t="s">
        <v>240</v>
      </c>
      <c r="C160" s="6" t="s">
        <v>159</v>
      </c>
      <c r="D160" s="7">
        <v>42027</v>
      </c>
      <c r="E160" s="6">
        <v>188</v>
      </c>
      <c r="F160" s="7">
        <v>41839</v>
      </c>
      <c r="G160" s="7">
        <v>146815</v>
      </c>
      <c r="H160" s="6">
        <v>657</v>
      </c>
      <c r="I160" s="7">
        <v>286259</v>
      </c>
      <c r="J160" s="6" t="s">
        <v>257</v>
      </c>
      <c r="K160" s="6" t="s">
        <v>257</v>
      </c>
      <c r="L160" s="8">
        <v>0.38600000000000001</v>
      </c>
      <c r="M160" s="8">
        <v>0.99550000000000005</v>
      </c>
      <c r="N160" s="8">
        <v>0.85309999999999997</v>
      </c>
      <c r="O160" s="9">
        <f t="shared" si="2"/>
        <v>0.14681459796897214</v>
      </c>
      <c r="P160" s="11" t="s">
        <v>255</v>
      </c>
    </row>
    <row r="161" spans="1:16" x14ac:dyDescent="0.3">
      <c r="A161" s="6">
        <v>160</v>
      </c>
      <c r="B161" s="6" t="s">
        <v>240</v>
      </c>
      <c r="C161" s="6" t="s">
        <v>160</v>
      </c>
      <c r="D161" s="7">
        <v>39572</v>
      </c>
      <c r="E161" s="6">
        <v>290</v>
      </c>
      <c r="F161" s="7">
        <v>39281</v>
      </c>
      <c r="G161" s="7">
        <v>4559</v>
      </c>
      <c r="H161" s="6">
        <v>33</v>
      </c>
      <c r="I161" s="7">
        <v>8680837</v>
      </c>
      <c r="J161" s="8">
        <v>1.7999999999999999E-2</v>
      </c>
      <c r="K161" s="8">
        <v>5.5E-2</v>
      </c>
      <c r="L161" s="8">
        <v>0.24809999999999999</v>
      </c>
      <c r="M161" s="8">
        <v>0.99270000000000003</v>
      </c>
      <c r="N161" s="8">
        <v>0.99539999999999995</v>
      </c>
      <c r="O161" s="9">
        <f t="shared" si="2"/>
        <v>4.5585466009786845E-3</v>
      </c>
      <c r="P161" s="11" t="s">
        <v>256</v>
      </c>
    </row>
    <row r="162" spans="1:16" x14ac:dyDescent="0.3">
      <c r="A162" s="6">
        <v>161</v>
      </c>
      <c r="B162" s="6" t="s">
        <v>240</v>
      </c>
      <c r="C162" s="6" t="s">
        <v>161</v>
      </c>
      <c r="D162" s="7">
        <v>38572</v>
      </c>
      <c r="E162" s="6">
        <v>468</v>
      </c>
      <c r="F162" s="7">
        <v>37757</v>
      </c>
      <c r="G162" s="7">
        <v>2782</v>
      </c>
      <c r="H162" s="6">
        <v>34</v>
      </c>
      <c r="I162" s="7">
        <v>13865691</v>
      </c>
      <c r="J162" s="8">
        <v>7.0000000000000007E-2</v>
      </c>
      <c r="K162" s="8">
        <v>4.2000000000000003E-2</v>
      </c>
      <c r="L162" s="8">
        <v>0.62009999999999998</v>
      </c>
      <c r="M162" s="8">
        <v>0.9879</v>
      </c>
      <c r="N162" s="8">
        <v>0.99719999999999998</v>
      </c>
      <c r="O162" s="9">
        <f t="shared" si="2"/>
        <v>2.7818303465727023E-3</v>
      </c>
      <c r="P162" s="11" t="s">
        <v>256</v>
      </c>
    </row>
    <row r="163" spans="1:16" x14ac:dyDescent="0.3">
      <c r="A163" s="6">
        <v>162</v>
      </c>
      <c r="B163" s="6" t="s">
        <v>234</v>
      </c>
      <c r="C163" s="6" t="s">
        <v>162</v>
      </c>
      <c r="D163" s="7">
        <v>38084</v>
      </c>
      <c r="E163" s="6">
        <v>844</v>
      </c>
      <c r="F163" s="7">
        <v>36366</v>
      </c>
      <c r="G163" s="7">
        <v>95087</v>
      </c>
      <c r="H163" s="7">
        <v>2107</v>
      </c>
      <c r="I163" s="7">
        <v>400516</v>
      </c>
      <c r="J163" s="8">
        <v>-0.16300000000000001</v>
      </c>
      <c r="K163" s="8">
        <v>0.08</v>
      </c>
      <c r="L163" s="8">
        <v>0.443</v>
      </c>
      <c r="M163" s="8">
        <v>0.9778</v>
      </c>
      <c r="N163" s="8">
        <v>0.90490000000000004</v>
      </c>
      <c r="O163" s="9">
        <f t="shared" si="2"/>
        <v>9.5087337334838054E-2</v>
      </c>
      <c r="P163" s="11" t="s">
        <v>254</v>
      </c>
    </row>
    <row r="164" spans="1:16" x14ac:dyDescent="0.3">
      <c r="A164" s="6">
        <v>163</v>
      </c>
      <c r="B164" s="6" t="s">
        <v>236</v>
      </c>
      <c r="C164" s="6" t="s">
        <v>163</v>
      </c>
      <c r="D164" s="7">
        <v>38008</v>
      </c>
      <c r="E164" s="6">
        <v>116</v>
      </c>
      <c r="F164" s="7">
        <v>37892</v>
      </c>
      <c r="G164" s="7">
        <v>443335</v>
      </c>
      <c r="H164" s="7">
        <v>1353</v>
      </c>
      <c r="I164" s="7">
        <v>85732</v>
      </c>
      <c r="J164" s="6" t="s">
        <v>257</v>
      </c>
      <c r="K164" s="6" t="s">
        <v>257</v>
      </c>
      <c r="L164" s="6" t="s">
        <v>244</v>
      </c>
      <c r="M164" s="8">
        <v>0.997</v>
      </c>
      <c r="N164" s="8">
        <v>0.55779999999999996</v>
      </c>
      <c r="O164" s="9">
        <f t="shared" si="2"/>
        <v>0.44333504409088786</v>
      </c>
      <c r="P164" s="11" t="s">
        <v>254</v>
      </c>
    </row>
    <row r="165" spans="1:16" x14ac:dyDescent="0.3">
      <c r="A165" s="6">
        <v>164</v>
      </c>
      <c r="B165" s="6" t="s">
        <v>240</v>
      </c>
      <c r="C165" s="6" t="s">
        <v>164</v>
      </c>
      <c r="D165" s="7">
        <v>36138</v>
      </c>
      <c r="E165" s="6">
        <v>723</v>
      </c>
      <c r="F165" s="7">
        <v>25980</v>
      </c>
      <c r="G165" s="7">
        <v>16610</v>
      </c>
      <c r="H165" s="6">
        <v>332</v>
      </c>
      <c r="I165" s="7">
        <v>2175699</v>
      </c>
      <c r="J165" s="8">
        <v>-6.9000000000000006E-2</v>
      </c>
      <c r="K165" s="8">
        <v>0.112</v>
      </c>
      <c r="L165" s="8">
        <v>0.44359999999999999</v>
      </c>
      <c r="M165" s="8">
        <v>0.98</v>
      </c>
      <c r="N165" s="8">
        <v>0.98340000000000005</v>
      </c>
      <c r="O165" s="9">
        <f t="shared" si="2"/>
        <v>1.6609834356682611E-2</v>
      </c>
      <c r="P165" s="11" t="s">
        <v>255</v>
      </c>
    </row>
    <row r="166" spans="1:16" x14ac:dyDescent="0.3">
      <c r="A166" s="6">
        <v>165</v>
      </c>
      <c r="B166" s="6" t="s">
        <v>234</v>
      </c>
      <c r="C166" s="6" t="s">
        <v>165</v>
      </c>
      <c r="D166" s="7">
        <v>34667</v>
      </c>
      <c r="E166" s="6">
        <v>860</v>
      </c>
      <c r="F166" s="7">
        <v>33734</v>
      </c>
      <c r="G166" s="7">
        <v>2968</v>
      </c>
      <c r="H166" s="6">
        <v>74</v>
      </c>
      <c r="I166" s="7">
        <v>11680283</v>
      </c>
      <c r="J166" s="8">
        <v>-3.3000000000000002E-2</v>
      </c>
      <c r="K166" s="8">
        <v>8.4000000000000005E-2</v>
      </c>
      <c r="L166" s="10">
        <v>0.05</v>
      </c>
      <c r="M166" s="8">
        <v>0.97519999999999996</v>
      </c>
      <c r="N166" s="8">
        <v>0.997</v>
      </c>
      <c r="O166" s="9">
        <f t="shared" si="2"/>
        <v>2.967993155645287E-3</v>
      </c>
      <c r="P166" s="11" t="s">
        <v>256</v>
      </c>
    </row>
    <row r="167" spans="1:16" x14ac:dyDescent="0.3">
      <c r="A167" s="6">
        <v>166</v>
      </c>
      <c r="B167" s="6" t="s">
        <v>236</v>
      </c>
      <c r="C167" s="6" t="s">
        <v>166</v>
      </c>
      <c r="D167" s="7">
        <v>34658</v>
      </c>
      <c r="E167" s="6">
        <v>28</v>
      </c>
      <c r="F167" s="7">
        <v>34630</v>
      </c>
      <c r="G167" s="7">
        <v>703959</v>
      </c>
      <c r="H167" s="6">
        <v>569</v>
      </c>
      <c r="I167" s="7">
        <v>49233</v>
      </c>
      <c r="J167" s="6" t="s">
        <v>257</v>
      </c>
      <c r="K167" s="6" t="s">
        <v>257</v>
      </c>
      <c r="L167" s="8">
        <v>0.91200000000000003</v>
      </c>
      <c r="M167" s="8">
        <v>0.99919999999999998</v>
      </c>
      <c r="N167" s="8">
        <v>0.29609999999999997</v>
      </c>
      <c r="O167" s="9">
        <f t="shared" si="2"/>
        <v>0.70395872687018868</v>
      </c>
      <c r="P167" s="11" t="s">
        <v>255</v>
      </c>
    </row>
    <row r="168" spans="1:16" x14ac:dyDescent="0.3">
      <c r="A168" s="6">
        <v>167</v>
      </c>
      <c r="B168" s="6" t="s">
        <v>240</v>
      </c>
      <c r="C168" s="6" t="s">
        <v>167</v>
      </c>
      <c r="D168" s="7">
        <v>33164</v>
      </c>
      <c r="E168" s="6">
        <v>743</v>
      </c>
      <c r="F168" s="7">
        <v>32332</v>
      </c>
      <c r="G168" s="7">
        <v>1544</v>
      </c>
      <c r="H168" s="6">
        <v>35</v>
      </c>
      <c r="I168" s="7">
        <v>21473764</v>
      </c>
      <c r="J168" s="8">
        <v>8.0000000000000002E-3</v>
      </c>
      <c r="K168" s="8">
        <v>6.6000000000000003E-2</v>
      </c>
      <c r="L168" s="8">
        <v>0.18870000000000001</v>
      </c>
      <c r="M168" s="8">
        <v>0.97760000000000002</v>
      </c>
      <c r="N168" s="8">
        <v>0.99850000000000005</v>
      </c>
      <c r="O168" s="9">
        <f t="shared" si="2"/>
        <v>1.5443962222924683E-3</v>
      </c>
      <c r="P168" s="11" t="s">
        <v>256</v>
      </c>
    </row>
    <row r="169" spans="1:16" x14ac:dyDescent="0.3">
      <c r="A169" s="6">
        <v>168</v>
      </c>
      <c r="B169" s="6" t="s">
        <v>234</v>
      </c>
      <c r="C169" s="6" t="s">
        <v>168</v>
      </c>
      <c r="D169" s="7">
        <v>31472</v>
      </c>
      <c r="E169" s="6">
        <v>37</v>
      </c>
      <c r="F169" s="7">
        <v>8553</v>
      </c>
      <c r="G169" s="7">
        <v>467797</v>
      </c>
      <c r="H169" s="6">
        <v>550</v>
      </c>
      <c r="I169" s="7">
        <v>67277</v>
      </c>
      <c r="J169" s="8">
        <v>-6.2E-2</v>
      </c>
      <c r="K169" s="6" t="s">
        <v>257</v>
      </c>
      <c r="L169" s="8">
        <v>0.80200000000000005</v>
      </c>
      <c r="M169" s="8">
        <v>0.99880000000000002</v>
      </c>
      <c r="N169" s="8">
        <v>0.53180000000000005</v>
      </c>
      <c r="O169" s="9">
        <f t="shared" si="2"/>
        <v>0.46779731557590259</v>
      </c>
      <c r="P169" s="11" t="s">
        <v>255</v>
      </c>
    </row>
    <row r="170" spans="1:16" x14ac:dyDescent="0.3">
      <c r="A170" s="6">
        <v>169</v>
      </c>
      <c r="B170" s="6" t="s">
        <v>234</v>
      </c>
      <c r="C170" s="6" t="s">
        <v>169</v>
      </c>
      <c r="D170" s="7">
        <v>30215</v>
      </c>
      <c r="E170" s="6">
        <v>410</v>
      </c>
      <c r="F170" s="7">
        <v>29805</v>
      </c>
      <c r="G170" s="7">
        <v>163225</v>
      </c>
      <c r="H170" s="7">
        <v>2215</v>
      </c>
      <c r="I170" s="7">
        <v>185113</v>
      </c>
      <c r="J170" s="8">
        <v>-0.2</v>
      </c>
      <c r="K170" s="8">
        <v>7.9000000000000001E-2</v>
      </c>
      <c r="L170" s="8">
        <v>0.34799999999999998</v>
      </c>
      <c r="M170" s="8">
        <v>0.98640000000000005</v>
      </c>
      <c r="N170" s="8">
        <v>0.83689999999999998</v>
      </c>
      <c r="O170" s="9">
        <f t="shared" si="2"/>
        <v>0.16322462495880893</v>
      </c>
      <c r="P170" s="11" t="s">
        <v>254</v>
      </c>
    </row>
    <row r="171" spans="1:16" x14ac:dyDescent="0.3">
      <c r="A171" s="6">
        <v>170</v>
      </c>
      <c r="B171" s="6" t="s">
        <v>240</v>
      </c>
      <c r="C171" s="6" t="s">
        <v>170</v>
      </c>
      <c r="D171" s="7">
        <v>28036</v>
      </c>
      <c r="E171" s="6">
        <v>163</v>
      </c>
      <c r="F171" s="7">
        <v>27847</v>
      </c>
      <c r="G171" s="7">
        <v>2193</v>
      </c>
      <c r="H171" s="6">
        <v>13</v>
      </c>
      <c r="I171" s="7">
        <v>12784726</v>
      </c>
      <c r="J171" s="8">
        <v>2.3E-2</v>
      </c>
      <c r="K171" s="8">
        <v>3.6999999999999998E-2</v>
      </c>
      <c r="L171" s="8">
        <v>0.26869999999999999</v>
      </c>
      <c r="M171" s="8">
        <v>0.99419999999999997</v>
      </c>
      <c r="N171" s="8">
        <v>0.99780000000000002</v>
      </c>
      <c r="O171" s="9">
        <f t="shared" si="2"/>
        <v>2.1929292813940636E-3</v>
      </c>
      <c r="P171" s="11" t="s">
        <v>256</v>
      </c>
    </row>
    <row r="172" spans="1:16" x14ac:dyDescent="0.3">
      <c r="A172" s="6">
        <v>171</v>
      </c>
      <c r="B172" s="6" t="s">
        <v>235</v>
      </c>
      <c r="C172" s="6" t="s">
        <v>171</v>
      </c>
      <c r="D172" s="7">
        <v>27673</v>
      </c>
      <c r="E172" s="6">
        <v>123</v>
      </c>
      <c r="F172" s="7">
        <v>3487</v>
      </c>
      <c r="G172" s="7">
        <v>41458</v>
      </c>
      <c r="H172" s="6">
        <v>184</v>
      </c>
      <c r="I172" s="7">
        <v>667490</v>
      </c>
      <c r="J172" s="8">
        <v>-0.54400000000000004</v>
      </c>
      <c r="K172" s="6" t="s">
        <v>257</v>
      </c>
      <c r="L172" s="8">
        <v>0.90600000000000003</v>
      </c>
      <c r="M172" s="8">
        <v>0.99560000000000004</v>
      </c>
      <c r="N172" s="8">
        <v>0.95850000000000002</v>
      </c>
      <c r="O172" s="9">
        <f t="shared" si="2"/>
        <v>4.145829900073409E-2</v>
      </c>
      <c r="P172" s="11" t="s">
        <v>255</v>
      </c>
    </row>
    <row r="173" spans="1:16" x14ac:dyDescent="0.3">
      <c r="A173" s="6">
        <v>172</v>
      </c>
      <c r="B173" s="6" t="s">
        <v>240</v>
      </c>
      <c r="C173" s="6" t="s">
        <v>172</v>
      </c>
      <c r="D173" s="7">
        <v>27334</v>
      </c>
      <c r="E173" s="7">
        <v>1361</v>
      </c>
      <c r="F173" s="7">
        <v>13182</v>
      </c>
      <c r="G173" s="7">
        <v>1623</v>
      </c>
      <c r="H173" s="6">
        <v>81</v>
      </c>
      <c r="I173" s="7">
        <v>16841795</v>
      </c>
      <c r="J173" s="8">
        <v>5.0000000000000001E-3</v>
      </c>
      <c r="K173" s="8">
        <v>6.8000000000000005E-2</v>
      </c>
      <c r="L173" s="8">
        <v>0.504</v>
      </c>
      <c r="M173" s="8">
        <v>0.95020000000000004</v>
      </c>
      <c r="N173" s="8">
        <v>0.99839999999999995</v>
      </c>
      <c r="O173" s="9">
        <f t="shared" si="2"/>
        <v>1.6229861484479535E-3</v>
      </c>
      <c r="P173" s="11" t="s">
        <v>256</v>
      </c>
    </row>
    <row r="174" spans="1:16" x14ac:dyDescent="0.3">
      <c r="A174" s="6">
        <v>173</v>
      </c>
      <c r="B174" s="6" t="s">
        <v>239</v>
      </c>
      <c r="C174" s="6" t="s">
        <v>173</v>
      </c>
      <c r="D174" s="7">
        <v>26547</v>
      </c>
      <c r="E174" s="6">
        <v>65</v>
      </c>
      <c r="F174" s="7">
        <v>26482</v>
      </c>
      <c r="G174" s="7">
        <v>225953</v>
      </c>
      <c r="H174" s="6">
        <v>553</v>
      </c>
      <c r="I174" s="7">
        <v>117489</v>
      </c>
      <c r="J174" s="8">
        <v>-3.6999999999999998E-2</v>
      </c>
      <c r="K174" s="8">
        <v>6.8000000000000005E-2</v>
      </c>
      <c r="L174" s="8">
        <v>0.52800000000000002</v>
      </c>
      <c r="M174" s="8">
        <v>0.99760000000000004</v>
      </c>
      <c r="N174" s="8">
        <v>0.77400000000000002</v>
      </c>
      <c r="O174" s="9">
        <f t="shared" si="2"/>
        <v>0.22595306794678652</v>
      </c>
      <c r="P174" s="11" t="s">
        <v>255</v>
      </c>
    </row>
    <row r="175" spans="1:16" x14ac:dyDescent="0.3">
      <c r="A175" s="6">
        <v>174</v>
      </c>
      <c r="B175" s="6" t="s">
        <v>236</v>
      </c>
      <c r="C175" s="6" t="s">
        <v>174</v>
      </c>
      <c r="D175" s="7">
        <v>26185</v>
      </c>
      <c r="E175" s="6">
        <v>128</v>
      </c>
      <c r="F175" s="7">
        <v>26011</v>
      </c>
      <c r="G175" s="7">
        <v>768226</v>
      </c>
      <c r="H175" s="7">
        <v>3755</v>
      </c>
      <c r="I175" s="7">
        <v>34085</v>
      </c>
      <c r="J175" s="8">
        <v>-0.09</v>
      </c>
      <c r="K175" s="8">
        <v>8.7999999999999995E-2</v>
      </c>
      <c r="L175" s="8">
        <v>0.84299999999999997</v>
      </c>
      <c r="M175" s="8">
        <v>0.99509999999999998</v>
      </c>
      <c r="N175" s="8">
        <v>0.23180000000000001</v>
      </c>
      <c r="O175" s="9">
        <f t="shared" si="2"/>
        <v>0.76822649259204934</v>
      </c>
      <c r="P175" s="11" t="s">
        <v>254</v>
      </c>
    </row>
    <row r="176" spans="1:16" x14ac:dyDescent="0.3">
      <c r="A176" s="6">
        <v>175</v>
      </c>
      <c r="B176" s="6" t="s">
        <v>239</v>
      </c>
      <c r="C176" s="6" t="s">
        <v>175</v>
      </c>
      <c r="D176" s="7">
        <v>25954</v>
      </c>
      <c r="E176" s="6">
        <v>199</v>
      </c>
      <c r="F176" s="7">
        <v>25755</v>
      </c>
      <c r="G176" s="7">
        <v>35989</v>
      </c>
      <c r="H176" s="6">
        <v>276</v>
      </c>
      <c r="I176" s="7">
        <v>721159</v>
      </c>
      <c r="J176" s="8">
        <v>-4.2999999999999997E-2</v>
      </c>
      <c r="K176" s="8">
        <v>0.05</v>
      </c>
      <c r="L176" s="8">
        <v>0.22</v>
      </c>
      <c r="M176" s="8">
        <v>0.99229999999999996</v>
      </c>
      <c r="N176" s="8">
        <v>0.96399999999999997</v>
      </c>
      <c r="O176" s="9">
        <f t="shared" si="2"/>
        <v>3.5989289463211303E-2</v>
      </c>
      <c r="P176" s="11" t="s">
        <v>255</v>
      </c>
    </row>
    <row r="177" spans="1:16" x14ac:dyDescent="0.3">
      <c r="A177" s="6">
        <v>176</v>
      </c>
      <c r="B177" s="6" t="s">
        <v>240</v>
      </c>
      <c r="C177" s="6" t="s">
        <v>176</v>
      </c>
      <c r="D177" s="7">
        <v>25375</v>
      </c>
      <c r="E177" s="6">
        <v>386</v>
      </c>
      <c r="F177" s="7">
        <v>24006</v>
      </c>
      <c r="G177" s="7">
        <v>4377</v>
      </c>
      <c r="H177" s="6">
        <v>67</v>
      </c>
      <c r="I177" s="7">
        <v>5797805</v>
      </c>
      <c r="J177" s="8">
        <v>-0.03</v>
      </c>
      <c r="K177" s="8">
        <v>0.03</v>
      </c>
      <c r="L177" s="6" t="s">
        <v>244</v>
      </c>
      <c r="M177" s="8">
        <v>0.98480000000000001</v>
      </c>
      <c r="N177" s="8">
        <v>0.99560000000000004</v>
      </c>
      <c r="O177" s="9">
        <f t="shared" si="2"/>
        <v>4.3766563380451739E-3</v>
      </c>
      <c r="P177" s="11" t="s">
        <v>256</v>
      </c>
    </row>
    <row r="178" spans="1:16" x14ac:dyDescent="0.3">
      <c r="A178" s="6">
        <v>177</v>
      </c>
      <c r="B178" s="6" t="s">
        <v>235</v>
      </c>
      <c r="C178" s="6" t="s">
        <v>177</v>
      </c>
      <c r="D178" s="7">
        <v>23460</v>
      </c>
      <c r="E178" s="6">
        <v>138</v>
      </c>
      <c r="F178" s="7">
        <v>23102</v>
      </c>
      <c r="G178" s="7">
        <v>17131</v>
      </c>
      <c r="H178" s="6">
        <v>101</v>
      </c>
      <c r="I178" s="7">
        <v>1369429</v>
      </c>
      <c r="J178" s="8">
        <v>-7.1999999999999995E-2</v>
      </c>
      <c r="K178" s="8">
        <v>3.3000000000000002E-2</v>
      </c>
      <c r="L178" s="8">
        <v>0.64770000000000005</v>
      </c>
      <c r="M178" s="8">
        <v>0.99409999999999998</v>
      </c>
      <c r="N178" s="8">
        <v>0.9829</v>
      </c>
      <c r="O178" s="9">
        <f t="shared" si="2"/>
        <v>1.713122768686803E-2</v>
      </c>
      <c r="P178" s="11" t="s">
        <v>256</v>
      </c>
    </row>
    <row r="179" spans="1:16" x14ac:dyDescent="0.3">
      <c r="A179" s="6">
        <v>178</v>
      </c>
      <c r="B179" s="6" t="s">
        <v>240</v>
      </c>
      <c r="C179" s="6" t="s">
        <v>178</v>
      </c>
      <c r="D179" s="7">
        <v>22114</v>
      </c>
      <c r="E179" s="6">
        <v>400</v>
      </c>
      <c r="F179" s="7">
        <v>21596</v>
      </c>
      <c r="G179" s="7">
        <v>1001</v>
      </c>
      <c r="H179" s="6">
        <v>18</v>
      </c>
      <c r="I179" s="7">
        <v>22102838</v>
      </c>
      <c r="J179" s="8">
        <v>1.9E-2</v>
      </c>
      <c r="K179" s="8">
        <v>5.1999999999999998E-2</v>
      </c>
      <c r="L179" s="8">
        <v>0.27050000000000002</v>
      </c>
      <c r="M179" s="8">
        <v>0.9819</v>
      </c>
      <c r="N179" s="8">
        <v>0.999</v>
      </c>
      <c r="O179" s="9">
        <f t="shared" si="2"/>
        <v>1.0005050030226887E-3</v>
      </c>
      <c r="P179" s="11" t="s">
        <v>256</v>
      </c>
    </row>
    <row r="180" spans="1:16" x14ac:dyDescent="0.3">
      <c r="A180" s="6">
        <v>179</v>
      </c>
      <c r="B180" s="6" t="s">
        <v>236</v>
      </c>
      <c r="C180" s="6" t="s">
        <v>179</v>
      </c>
      <c r="D180" s="7">
        <v>21574</v>
      </c>
      <c r="E180" s="6">
        <v>94</v>
      </c>
      <c r="F180" s="7">
        <v>21480</v>
      </c>
      <c r="G180" s="7">
        <v>562013</v>
      </c>
      <c r="H180" s="7">
        <v>2449</v>
      </c>
      <c r="I180" s="7">
        <v>38387</v>
      </c>
      <c r="J180" s="6" t="s">
        <v>257</v>
      </c>
      <c r="K180" s="6" t="s">
        <v>257</v>
      </c>
      <c r="L180" s="8">
        <v>0.67249999999999999</v>
      </c>
      <c r="M180" s="8">
        <v>0.99560000000000004</v>
      </c>
      <c r="N180" s="8">
        <v>0.438</v>
      </c>
      <c r="O180" s="9">
        <f t="shared" si="2"/>
        <v>0.56201318154583579</v>
      </c>
      <c r="P180" s="11" t="s">
        <v>254</v>
      </c>
    </row>
    <row r="181" spans="1:16" x14ac:dyDescent="0.3">
      <c r="A181" s="6">
        <v>180</v>
      </c>
      <c r="B181" s="6" t="s">
        <v>236</v>
      </c>
      <c r="C181" s="6" t="s">
        <v>180</v>
      </c>
      <c r="D181" s="7">
        <v>20550</v>
      </c>
      <c r="E181" s="6">
        <v>113</v>
      </c>
      <c r="F181" s="7">
        <v>20437</v>
      </c>
      <c r="G181" s="7">
        <v>609720</v>
      </c>
      <c r="H181" s="7">
        <v>3353</v>
      </c>
      <c r="I181" s="7">
        <v>33704</v>
      </c>
      <c r="J181" s="6" t="s">
        <v>257</v>
      </c>
      <c r="K181" s="6" t="s">
        <v>257</v>
      </c>
      <c r="L181" s="6" t="s">
        <v>260</v>
      </c>
      <c r="M181" s="8">
        <v>0.99450000000000005</v>
      </c>
      <c r="N181" s="8">
        <v>0.3906</v>
      </c>
      <c r="O181" s="9">
        <f t="shared" si="2"/>
        <v>0.6097199145502018</v>
      </c>
      <c r="P181" s="11" t="s">
        <v>254</v>
      </c>
    </row>
    <row r="182" spans="1:16" x14ac:dyDescent="0.3">
      <c r="A182" s="6">
        <v>181</v>
      </c>
      <c r="B182" s="6" t="s">
        <v>234</v>
      </c>
      <c r="C182" s="6" t="s">
        <v>181</v>
      </c>
      <c r="D182" s="7">
        <v>19693</v>
      </c>
      <c r="E182" s="6">
        <v>238</v>
      </c>
      <c r="F182" s="7">
        <v>19358</v>
      </c>
      <c r="G182" s="7">
        <v>173545</v>
      </c>
      <c r="H182" s="7">
        <v>2097</v>
      </c>
      <c r="I182" s="7">
        <v>113475</v>
      </c>
      <c r="J182" s="8">
        <v>-0.121</v>
      </c>
      <c r="K182" s="8">
        <v>6.5000000000000002E-2</v>
      </c>
      <c r="L182" s="8">
        <v>0.36199999999999999</v>
      </c>
      <c r="M182" s="8">
        <v>0.9879</v>
      </c>
      <c r="N182" s="8">
        <v>0.82640000000000002</v>
      </c>
      <c r="O182" s="9">
        <f t="shared" si="2"/>
        <v>0.17354483366380261</v>
      </c>
      <c r="P182" s="11" t="s">
        <v>254</v>
      </c>
    </row>
    <row r="183" spans="1:16" x14ac:dyDescent="0.3">
      <c r="A183" s="6">
        <v>182</v>
      </c>
      <c r="B183" s="6" t="s">
        <v>234</v>
      </c>
      <c r="C183" s="6" t="s">
        <v>182</v>
      </c>
      <c r="D183" s="7">
        <v>18860</v>
      </c>
      <c r="E183" s="6">
        <v>165</v>
      </c>
      <c r="F183" s="7">
        <v>18685</v>
      </c>
      <c r="G183" s="7">
        <v>304493</v>
      </c>
      <c r="H183" s="7">
        <v>2664</v>
      </c>
      <c r="I183" s="7">
        <v>61939</v>
      </c>
      <c r="J183" s="8">
        <v>-1.6E-2</v>
      </c>
      <c r="K183" s="6" t="s">
        <v>257</v>
      </c>
      <c r="L183" s="8">
        <v>0.70199999999999996</v>
      </c>
      <c r="M183" s="8">
        <v>0.99129999999999996</v>
      </c>
      <c r="N183" s="8">
        <v>0.69540000000000002</v>
      </c>
      <c r="O183" s="9">
        <f t="shared" si="2"/>
        <v>0.30449313033791309</v>
      </c>
      <c r="P183" s="11" t="s">
        <v>254</v>
      </c>
    </row>
    <row r="184" spans="1:16" x14ac:dyDescent="0.3">
      <c r="A184" s="6">
        <v>183</v>
      </c>
      <c r="B184" s="6" t="s">
        <v>240</v>
      </c>
      <c r="C184" s="6" t="s">
        <v>183</v>
      </c>
      <c r="D184" s="7">
        <v>18819</v>
      </c>
      <c r="E184" s="6">
        <v>147</v>
      </c>
      <c r="F184" s="7">
        <v>18115</v>
      </c>
      <c r="G184" s="7">
        <v>1620</v>
      </c>
      <c r="H184" s="6">
        <v>13</v>
      </c>
      <c r="I184" s="7">
        <v>11618511</v>
      </c>
      <c r="J184" s="6" t="s">
        <v>257</v>
      </c>
      <c r="K184" s="6" t="s">
        <v>257</v>
      </c>
      <c r="L184" s="8">
        <v>0.39150000000000001</v>
      </c>
      <c r="M184" s="8">
        <v>0.99219999999999997</v>
      </c>
      <c r="N184" s="8">
        <v>0.99839999999999995</v>
      </c>
      <c r="O184" s="9">
        <f t="shared" si="2"/>
        <v>1.6197428396805753E-3</v>
      </c>
      <c r="P184" s="11" t="s">
        <v>256</v>
      </c>
    </row>
    <row r="185" spans="1:16" x14ac:dyDescent="0.3">
      <c r="A185" s="6">
        <v>184</v>
      </c>
      <c r="B185" s="6" t="s">
        <v>234</v>
      </c>
      <c r="C185" s="6" t="s">
        <v>184</v>
      </c>
      <c r="D185" s="7">
        <v>18491</v>
      </c>
      <c r="E185" s="6">
        <v>225</v>
      </c>
      <c r="F185" s="7">
        <v>4225</v>
      </c>
      <c r="G185" s="7">
        <v>2728</v>
      </c>
      <c r="H185" s="6">
        <v>33</v>
      </c>
      <c r="I185" s="7">
        <v>6779100</v>
      </c>
      <c r="J185" s="8">
        <v>-1.7999999999999999E-2</v>
      </c>
      <c r="K185" s="8">
        <v>7.0999999999999994E-2</v>
      </c>
      <c r="L185" s="8">
        <v>0.95150000000000001</v>
      </c>
      <c r="M185" s="8">
        <v>0.98780000000000001</v>
      </c>
      <c r="N185" s="8">
        <v>0.99729999999999996</v>
      </c>
      <c r="O185" s="9">
        <f t="shared" si="2"/>
        <v>2.7276482128896166E-3</v>
      </c>
      <c r="P185" s="11" t="s">
        <v>256</v>
      </c>
    </row>
    <row r="186" spans="1:16" x14ac:dyDescent="0.3">
      <c r="A186" s="6">
        <v>185</v>
      </c>
      <c r="B186" s="6" t="s">
        <v>235</v>
      </c>
      <c r="C186" s="6" t="s">
        <v>185</v>
      </c>
      <c r="D186" s="7">
        <v>17786</v>
      </c>
      <c r="E186" s="6">
        <v>125</v>
      </c>
      <c r="F186" s="7">
        <v>17264</v>
      </c>
      <c r="G186" s="7">
        <v>1786</v>
      </c>
      <c r="H186" s="6">
        <v>13</v>
      </c>
      <c r="I186" s="7">
        <v>9957464</v>
      </c>
      <c r="J186" s="8">
        <v>4.4999999999999998E-2</v>
      </c>
      <c r="K186" s="8">
        <v>7.0000000000000007E-2</v>
      </c>
      <c r="L186" s="8">
        <v>0.52329999999999999</v>
      </c>
      <c r="M186" s="8">
        <v>0.99299999999999999</v>
      </c>
      <c r="N186" s="8">
        <v>0.99819999999999998</v>
      </c>
      <c r="O186" s="9">
        <f t="shared" si="2"/>
        <v>1.7861977708380366E-3</v>
      </c>
      <c r="P186" s="11" t="s">
        <v>256</v>
      </c>
    </row>
    <row r="187" spans="1:16" x14ac:dyDescent="0.3">
      <c r="A187" s="6">
        <v>186</v>
      </c>
      <c r="B187" s="6" t="s">
        <v>240</v>
      </c>
      <c r="C187" s="6" t="s">
        <v>186</v>
      </c>
      <c r="D187" s="7">
        <v>17229</v>
      </c>
      <c r="E187" s="6">
        <v>183</v>
      </c>
      <c r="F187" s="7">
        <v>16907</v>
      </c>
      <c r="G187" s="7">
        <v>11512</v>
      </c>
      <c r="H187" s="6">
        <v>122</v>
      </c>
      <c r="I187" s="7">
        <v>1496662</v>
      </c>
      <c r="J187" s="8">
        <v>-5.5E-2</v>
      </c>
      <c r="K187" s="8">
        <v>3.1E-2</v>
      </c>
      <c r="L187" s="6" t="s">
        <v>244</v>
      </c>
      <c r="M187" s="8">
        <v>0.98939999999999995</v>
      </c>
      <c r="N187" s="8">
        <v>0.98850000000000005</v>
      </c>
      <c r="O187" s="9">
        <f t="shared" si="2"/>
        <v>1.151161718544334E-2</v>
      </c>
      <c r="P187" s="11" t="s">
        <v>256</v>
      </c>
    </row>
    <row r="188" spans="1:16" x14ac:dyDescent="0.3">
      <c r="A188" s="6">
        <v>187</v>
      </c>
      <c r="B188" s="6" t="s">
        <v>236</v>
      </c>
      <c r="C188" s="6" t="s">
        <v>187</v>
      </c>
      <c r="D188" s="7">
        <v>17181</v>
      </c>
      <c r="E188" s="6">
        <v>67</v>
      </c>
      <c r="F188" s="7">
        <v>17114</v>
      </c>
      <c r="G188" s="7">
        <v>431868</v>
      </c>
      <c r="H188" s="7">
        <v>1684</v>
      </c>
      <c r="I188" s="7">
        <v>39783</v>
      </c>
      <c r="J188" s="6" t="s">
        <v>257</v>
      </c>
      <c r="K188" s="6" t="s">
        <v>257</v>
      </c>
      <c r="L188" s="8">
        <v>0.72299999999999998</v>
      </c>
      <c r="M188" s="8">
        <v>0.99609999999999999</v>
      </c>
      <c r="N188" s="8">
        <v>0.56810000000000005</v>
      </c>
      <c r="O188" s="9">
        <f t="shared" si="2"/>
        <v>0.43186788326672199</v>
      </c>
      <c r="P188" s="11" t="s">
        <v>254</v>
      </c>
    </row>
    <row r="189" spans="1:16" x14ac:dyDescent="0.3">
      <c r="A189" s="6">
        <v>188</v>
      </c>
      <c r="B189" s="6" t="s">
        <v>239</v>
      </c>
      <c r="C189" s="6" t="s">
        <v>188</v>
      </c>
      <c r="D189" s="7">
        <v>17006</v>
      </c>
      <c r="E189" s="6">
        <v>31</v>
      </c>
      <c r="F189" s="7">
        <v>1605</v>
      </c>
      <c r="G189" s="7">
        <v>84089</v>
      </c>
      <c r="H189" s="6">
        <v>153</v>
      </c>
      <c r="I189" s="7">
        <v>202239</v>
      </c>
      <c r="J189" s="8">
        <v>-3.1E-2</v>
      </c>
      <c r="K189" s="8">
        <v>5.7000000000000002E-2</v>
      </c>
      <c r="L189" s="8">
        <v>0.68200000000000005</v>
      </c>
      <c r="M189" s="8">
        <v>0.99819999999999998</v>
      </c>
      <c r="N189" s="8">
        <v>0.91590000000000005</v>
      </c>
      <c r="O189" s="9">
        <f t="shared" si="2"/>
        <v>8.4088627811648595E-2</v>
      </c>
      <c r="P189" s="11" t="s">
        <v>256</v>
      </c>
    </row>
    <row r="190" spans="1:16" x14ac:dyDescent="0.3">
      <c r="A190" s="6">
        <v>189</v>
      </c>
      <c r="B190" s="6" t="s">
        <v>239</v>
      </c>
      <c r="C190" s="6" t="s">
        <v>189</v>
      </c>
      <c r="D190" s="7">
        <v>16950</v>
      </c>
      <c r="E190" s="6">
        <v>13</v>
      </c>
      <c r="F190" s="7">
        <v>15638</v>
      </c>
      <c r="G190" s="7">
        <v>157310</v>
      </c>
      <c r="H190" s="6">
        <v>121</v>
      </c>
      <c r="I190" s="7">
        <v>107749</v>
      </c>
      <c r="J190" s="8">
        <v>-2.7E-2</v>
      </c>
      <c r="K190" s="8">
        <v>7.0000000000000007E-2</v>
      </c>
      <c r="L190" s="8">
        <v>0.88600000000000001</v>
      </c>
      <c r="M190" s="8">
        <v>0.99919999999999998</v>
      </c>
      <c r="N190" s="8">
        <v>0.84279999999999999</v>
      </c>
      <c r="O190" s="9">
        <f t="shared" si="2"/>
        <v>0.15731004464078552</v>
      </c>
      <c r="P190" s="11" t="s">
        <v>256</v>
      </c>
    </row>
    <row r="191" spans="1:16" x14ac:dyDescent="0.3">
      <c r="A191" s="6">
        <v>190</v>
      </c>
      <c r="B191" s="6" t="s">
        <v>239</v>
      </c>
      <c r="C191" s="6" t="s">
        <v>190</v>
      </c>
      <c r="D191" s="7">
        <v>16138</v>
      </c>
      <c r="E191" s="6">
        <v>17</v>
      </c>
      <c r="F191" s="7">
        <v>16121</v>
      </c>
      <c r="G191" s="7">
        <v>268711</v>
      </c>
      <c r="H191" s="6">
        <v>283</v>
      </c>
      <c r="I191" s="7">
        <v>60057</v>
      </c>
      <c r="J191" s="8">
        <v>-2.3E-2</v>
      </c>
      <c r="K191" s="8">
        <v>7.0000000000000007E-2</v>
      </c>
      <c r="L191" s="8">
        <v>0.74099999999999999</v>
      </c>
      <c r="M191" s="8">
        <v>0.99890000000000001</v>
      </c>
      <c r="N191" s="8">
        <v>0.73129999999999995</v>
      </c>
      <c r="O191" s="9">
        <f t="shared" si="2"/>
        <v>0.26871139084536355</v>
      </c>
      <c r="P191" s="11" t="s">
        <v>255</v>
      </c>
    </row>
    <row r="192" spans="1:16" x14ac:dyDescent="0.3">
      <c r="A192" s="6">
        <v>191</v>
      </c>
      <c r="B192" s="6" t="s">
        <v>234</v>
      </c>
      <c r="C192" s="6" t="s">
        <v>191</v>
      </c>
      <c r="D192" s="7">
        <v>16038</v>
      </c>
      <c r="E192" s="6">
        <v>74</v>
      </c>
      <c r="F192" s="7">
        <v>15964</v>
      </c>
      <c r="G192" s="7">
        <v>221691</v>
      </c>
      <c r="H192" s="7">
        <v>1023</v>
      </c>
      <c r="I192" s="7">
        <v>72344</v>
      </c>
      <c r="J192" s="8">
        <v>-0.182</v>
      </c>
      <c r="K192" s="8">
        <v>7.5999999999999998E-2</v>
      </c>
      <c r="L192" s="8">
        <v>0.60299999999999998</v>
      </c>
      <c r="M192" s="8">
        <v>0.99539999999999995</v>
      </c>
      <c r="N192" s="8">
        <v>0.77829999999999999</v>
      </c>
      <c r="O192" s="9">
        <f t="shared" si="2"/>
        <v>0.22169081057171292</v>
      </c>
      <c r="P192" s="11" t="s">
        <v>254</v>
      </c>
    </row>
    <row r="193" spans="1:16" x14ac:dyDescent="0.3">
      <c r="A193" s="6">
        <v>192</v>
      </c>
      <c r="B193" s="6" t="s">
        <v>240</v>
      </c>
      <c r="C193" s="6" t="s">
        <v>192</v>
      </c>
      <c r="D193" s="7">
        <v>15690</v>
      </c>
      <c r="E193" s="6">
        <v>189</v>
      </c>
      <c r="F193" s="7">
        <v>15427</v>
      </c>
      <c r="G193" s="7">
        <v>15441</v>
      </c>
      <c r="H193" s="6">
        <v>186</v>
      </c>
      <c r="I193" s="7">
        <v>1016097</v>
      </c>
      <c r="J193" s="8">
        <v>7.0000000000000001E-3</v>
      </c>
      <c r="K193" s="8">
        <v>6.5000000000000002E-2</v>
      </c>
      <c r="L193" s="8">
        <v>0.44900000000000001</v>
      </c>
      <c r="M193" s="8">
        <v>0.98799999999999999</v>
      </c>
      <c r="N193" s="8">
        <v>0.98450000000000004</v>
      </c>
      <c r="O193" s="9">
        <f t="shared" si="2"/>
        <v>1.5441439153939043E-2</v>
      </c>
      <c r="P193" s="11" t="s">
        <v>255</v>
      </c>
    </row>
    <row r="194" spans="1:16" x14ac:dyDescent="0.3">
      <c r="A194" s="6">
        <v>193</v>
      </c>
      <c r="B194" s="6" t="s">
        <v>240</v>
      </c>
      <c r="C194" s="6" t="s">
        <v>193</v>
      </c>
      <c r="D194" s="7">
        <v>15440</v>
      </c>
      <c r="E194" s="6">
        <v>113</v>
      </c>
      <c r="F194" s="7">
        <v>15200</v>
      </c>
      <c r="G194" s="7">
        <v>3078</v>
      </c>
      <c r="H194" s="6">
        <v>23</v>
      </c>
      <c r="I194" s="7">
        <v>5016678</v>
      </c>
      <c r="J194" s="8">
        <v>-8.0000000000000002E-3</v>
      </c>
      <c r="K194" s="8">
        <v>5.0999999999999997E-2</v>
      </c>
      <c r="L194" s="8">
        <v>0.5101</v>
      </c>
      <c r="M194" s="8">
        <v>0.99270000000000003</v>
      </c>
      <c r="N194" s="8">
        <v>0.99690000000000001</v>
      </c>
      <c r="O194" s="9">
        <f t="shared" si="2"/>
        <v>3.0777339107672446E-3</v>
      </c>
      <c r="P194" s="11" t="s">
        <v>256</v>
      </c>
    </row>
    <row r="195" spans="1:16" x14ac:dyDescent="0.3">
      <c r="A195" s="6">
        <v>194</v>
      </c>
      <c r="B195" s="6" t="s">
        <v>240</v>
      </c>
      <c r="C195" s="6" t="s">
        <v>194</v>
      </c>
      <c r="D195" s="7">
        <v>12626</v>
      </c>
      <c r="E195" s="6">
        <v>372</v>
      </c>
      <c r="F195" s="7">
        <v>12189</v>
      </c>
      <c r="G195" s="7">
        <v>4935</v>
      </c>
      <c r="H195" s="6">
        <v>145</v>
      </c>
      <c r="I195" s="7">
        <v>2558482</v>
      </c>
      <c r="J195" s="8">
        <v>-2E-3</v>
      </c>
      <c r="K195" s="8">
        <v>7.0000000000000007E-2</v>
      </c>
      <c r="L195" s="8">
        <v>0.38700000000000001</v>
      </c>
      <c r="M195" s="8">
        <v>0.97050000000000003</v>
      </c>
      <c r="N195" s="8">
        <v>0.99509999999999998</v>
      </c>
      <c r="O195" s="9">
        <f t="shared" ref="O195:O231" si="3">D195/I195</f>
        <v>4.9349575255952551E-3</v>
      </c>
      <c r="P195" s="11" t="s">
        <v>256</v>
      </c>
    </row>
    <row r="196" spans="1:16" x14ac:dyDescent="0.3">
      <c r="A196" s="6">
        <v>195</v>
      </c>
      <c r="B196" s="6" t="s">
        <v>234</v>
      </c>
      <c r="C196" s="6" t="s">
        <v>195</v>
      </c>
      <c r="D196" s="7">
        <v>12324</v>
      </c>
      <c r="E196" s="6">
        <v>63</v>
      </c>
      <c r="F196" s="7">
        <v>12261</v>
      </c>
      <c r="G196" s="7">
        <v>310194</v>
      </c>
      <c r="H196" s="7">
        <v>1586</v>
      </c>
      <c r="I196" s="7">
        <v>39730</v>
      </c>
      <c r="J196" s="6" t="s">
        <v>257</v>
      </c>
      <c r="K196" s="6" t="s">
        <v>257</v>
      </c>
      <c r="L196" s="8">
        <v>0.32500000000000001</v>
      </c>
      <c r="M196" s="8">
        <v>0.99490000000000001</v>
      </c>
      <c r="N196" s="8">
        <v>0.68969999999999998</v>
      </c>
      <c r="O196" s="9">
        <f t="shared" si="3"/>
        <v>0.31019380820538633</v>
      </c>
      <c r="P196" s="11" t="s">
        <v>254</v>
      </c>
    </row>
    <row r="197" spans="1:16" x14ac:dyDescent="0.3">
      <c r="A197" s="6">
        <v>196</v>
      </c>
      <c r="B197" s="6" t="s">
        <v>239</v>
      </c>
      <c r="C197" s="6" t="s">
        <v>196</v>
      </c>
      <c r="D197" s="7">
        <v>12019</v>
      </c>
      <c r="E197" s="6">
        <v>14</v>
      </c>
      <c r="F197" s="7">
        <v>11976</v>
      </c>
      <c r="G197" s="7">
        <v>37346</v>
      </c>
      <c r="H197" s="6">
        <v>44</v>
      </c>
      <c r="I197" s="7">
        <v>321832</v>
      </c>
      <c r="J197" s="8">
        <v>-1.0999999999999999E-2</v>
      </c>
      <c r="K197" s="8">
        <v>4.2000000000000003E-2</v>
      </c>
      <c r="L197" s="8">
        <v>0.60899999999999999</v>
      </c>
      <c r="M197" s="8">
        <v>0.99880000000000002</v>
      </c>
      <c r="N197" s="8">
        <v>0.9627</v>
      </c>
      <c r="O197" s="9">
        <f t="shared" si="3"/>
        <v>3.7345571602575255E-2</v>
      </c>
      <c r="P197" s="11" t="s">
        <v>256</v>
      </c>
    </row>
    <row r="198" spans="1:16" x14ac:dyDescent="0.3">
      <c r="A198" s="6">
        <v>197</v>
      </c>
      <c r="B198" s="6" t="s">
        <v>234</v>
      </c>
      <c r="C198" s="6" t="s">
        <v>197</v>
      </c>
      <c r="D198" s="7">
        <v>11971</v>
      </c>
      <c r="E198" s="6">
        <v>21</v>
      </c>
      <c r="F198" s="7">
        <v>2761</v>
      </c>
      <c r="G198" s="7">
        <v>210117</v>
      </c>
      <c r="H198" s="6">
        <v>369</v>
      </c>
      <c r="I198" s="7">
        <v>56973</v>
      </c>
      <c r="J198" s="6" t="s">
        <v>257</v>
      </c>
      <c r="K198" s="6" t="s">
        <v>257</v>
      </c>
      <c r="L198" s="8">
        <v>0.754</v>
      </c>
      <c r="M198" s="8">
        <v>0.99819999999999998</v>
      </c>
      <c r="N198" s="8">
        <v>0.79</v>
      </c>
      <c r="O198" s="9">
        <f t="shared" si="3"/>
        <v>0.21011707299949098</v>
      </c>
      <c r="P198" s="11" t="s">
        <v>255</v>
      </c>
    </row>
    <row r="199" spans="1:16" x14ac:dyDescent="0.3">
      <c r="A199" s="6">
        <v>198</v>
      </c>
      <c r="B199" s="6" t="s">
        <v>235</v>
      </c>
      <c r="C199" s="6" t="s">
        <v>198</v>
      </c>
      <c r="D199" s="7">
        <v>11945</v>
      </c>
      <c r="E199" s="7">
        <v>2159</v>
      </c>
      <c r="F199" s="7">
        <v>9124</v>
      </c>
      <c r="G199" s="6">
        <v>383</v>
      </c>
      <c r="H199" s="6">
        <v>69</v>
      </c>
      <c r="I199" s="7">
        <v>31154867</v>
      </c>
      <c r="J199" s="6" t="s">
        <v>257</v>
      </c>
      <c r="K199" s="6" t="s">
        <v>257</v>
      </c>
      <c r="L199" s="8">
        <v>2.75E-2</v>
      </c>
      <c r="M199" s="8">
        <v>0.81989999999999996</v>
      </c>
      <c r="N199" s="8">
        <v>0.99960000000000004</v>
      </c>
      <c r="O199" s="9">
        <f t="shared" si="3"/>
        <v>3.8340718963749711E-4</v>
      </c>
      <c r="P199" s="11" t="s">
        <v>256</v>
      </c>
    </row>
    <row r="200" spans="1:16" x14ac:dyDescent="0.3">
      <c r="A200" s="6">
        <v>199</v>
      </c>
      <c r="B200" s="6" t="s">
        <v>234</v>
      </c>
      <c r="C200" s="6" t="s">
        <v>199</v>
      </c>
      <c r="D200" s="7">
        <v>11682</v>
      </c>
      <c r="E200" s="6">
        <v>38</v>
      </c>
      <c r="F200" s="7">
        <v>10476</v>
      </c>
      <c r="G200" s="7">
        <v>438398</v>
      </c>
      <c r="H200" s="7">
        <v>1426</v>
      </c>
      <c r="I200" s="7">
        <v>26647</v>
      </c>
      <c r="J200" s="6" t="s">
        <v>257</v>
      </c>
      <c r="K200" s="6" t="s">
        <v>257</v>
      </c>
      <c r="L200" s="6" t="s">
        <v>244</v>
      </c>
      <c r="M200" s="8">
        <v>0.99670000000000003</v>
      </c>
      <c r="N200" s="8">
        <v>0.56159999999999999</v>
      </c>
      <c r="O200" s="9">
        <f t="shared" si="3"/>
        <v>0.43839831876008556</v>
      </c>
      <c r="P200" s="11" t="s">
        <v>254</v>
      </c>
    </row>
    <row r="201" spans="1:16" x14ac:dyDescent="0.3">
      <c r="A201" s="6">
        <v>200</v>
      </c>
      <c r="B201" s="6" t="s">
        <v>234</v>
      </c>
      <c r="C201" s="6" t="s">
        <v>200</v>
      </c>
      <c r="D201" s="7">
        <v>11051</v>
      </c>
      <c r="E201" s="6">
        <v>92</v>
      </c>
      <c r="F201" s="7">
        <v>10905</v>
      </c>
      <c r="G201" s="7">
        <v>251353</v>
      </c>
      <c r="H201" s="7">
        <v>2093</v>
      </c>
      <c r="I201" s="7">
        <v>43966</v>
      </c>
      <c r="J201" s="8">
        <v>-0.16500000000000001</v>
      </c>
      <c r="K201" s="6" t="s">
        <v>257</v>
      </c>
      <c r="L201" s="6" t="s">
        <v>244</v>
      </c>
      <c r="M201" s="8">
        <v>0.99170000000000003</v>
      </c>
      <c r="N201" s="8">
        <v>0.74860000000000004</v>
      </c>
      <c r="O201" s="9">
        <f t="shared" si="3"/>
        <v>0.25135331847336578</v>
      </c>
      <c r="P201" s="11" t="s">
        <v>254</v>
      </c>
    </row>
    <row r="202" spans="1:16" x14ac:dyDescent="0.3">
      <c r="A202" s="6">
        <v>201</v>
      </c>
      <c r="B202" s="6" t="s">
        <v>240</v>
      </c>
      <c r="C202" s="6" t="s">
        <v>201</v>
      </c>
      <c r="D202" s="7">
        <v>10189</v>
      </c>
      <c r="E202" s="6">
        <v>103</v>
      </c>
      <c r="F202" s="7">
        <v>10086</v>
      </c>
      <c r="G202" s="7">
        <v>2782</v>
      </c>
      <c r="H202" s="6">
        <v>28</v>
      </c>
      <c r="I202" s="7">
        <v>3662244</v>
      </c>
      <c r="J202" s="6" t="s">
        <v>257</v>
      </c>
      <c r="K202" s="6" t="s">
        <v>257</v>
      </c>
      <c r="L202" s="6" t="s">
        <v>245</v>
      </c>
      <c r="M202" s="8">
        <v>0.9899</v>
      </c>
      <c r="N202" s="8">
        <v>0.99719999999999998</v>
      </c>
      <c r="O202" s="9">
        <f t="shared" si="3"/>
        <v>2.7821739894993342E-3</v>
      </c>
      <c r="P202" s="11" t="s">
        <v>256</v>
      </c>
    </row>
    <row r="203" spans="1:16" x14ac:dyDescent="0.3">
      <c r="A203" s="6">
        <v>202</v>
      </c>
      <c r="B203" s="6" t="s">
        <v>240</v>
      </c>
      <c r="C203" s="6" t="s">
        <v>202</v>
      </c>
      <c r="D203" s="7">
        <v>9931</v>
      </c>
      <c r="E203" s="6">
        <v>312</v>
      </c>
      <c r="F203" s="7">
        <v>8890</v>
      </c>
      <c r="G203" s="6">
        <v>381</v>
      </c>
      <c r="H203" s="6">
        <v>12</v>
      </c>
      <c r="I203" s="7">
        <v>26083660</v>
      </c>
      <c r="J203" s="8">
        <v>1.2E-2</v>
      </c>
      <c r="K203" s="8">
        <v>5.2999999999999999E-2</v>
      </c>
      <c r="L203" s="8">
        <v>0.24690000000000001</v>
      </c>
      <c r="M203" s="8">
        <v>0.96860000000000002</v>
      </c>
      <c r="N203" s="8">
        <v>0.99960000000000004</v>
      </c>
      <c r="O203" s="9">
        <f t="shared" si="3"/>
        <v>3.8073644572885862E-4</v>
      </c>
      <c r="P203" s="11" t="s">
        <v>256</v>
      </c>
    </row>
    <row r="204" spans="1:16" x14ac:dyDescent="0.3">
      <c r="A204" s="6">
        <v>203</v>
      </c>
      <c r="B204" s="6" t="s">
        <v>234</v>
      </c>
      <c r="C204" s="6" t="s">
        <v>203</v>
      </c>
      <c r="D204" s="7">
        <v>9674</v>
      </c>
      <c r="E204" s="6">
        <v>124</v>
      </c>
      <c r="F204" s="7">
        <v>9493</v>
      </c>
      <c r="G204" s="7">
        <v>86723</v>
      </c>
      <c r="H204" s="7">
        <v>1112</v>
      </c>
      <c r="I204" s="7">
        <v>111551</v>
      </c>
      <c r="J204" s="8">
        <v>-4.3999999999999997E-2</v>
      </c>
      <c r="K204" s="8">
        <v>5.8999999999999997E-2</v>
      </c>
      <c r="L204" s="8">
        <v>0.35699999999999998</v>
      </c>
      <c r="M204" s="8">
        <v>0.98719999999999997</v>
      </c>
      <c r="N204" s="8">
        <v>0.91320000000000001</v>
      </c>
      <c r="O204" s="9">
        <f t="shared" si="3"/>
        <v>8.6722664969386201E-2</v>
      </c>
      <c r="P204" s="11" t="s">
        <v>254</v>
      </c>
    </row>
    <row r="205" spans="1:16" x14ac:dyDescent="0.3">
      <c r="A205" s="6">
        <v>204</v>
      </c>
      <c r="B205" s="6" t="s">
        <v>240</v>
      </c>
      <c r="C205" s="6" t="s">
        <v>204</v>
      </c>
      <c r="D205" s="7">
        <v>9614</v>
      </c>
      <c r="E205" s="6">
        <v>177</v>
      </c>
      <c r="F205" s="7">
        <v>8929</v>
      </c>
      <c r="G205" s="7">
        <v>4659</v>
      </c>
      <c r="H205" s="6">
        <v>86</v>
      </c>
      <c r="I205" s="7">
        <v>2063367</v>
      </c>
      <c r="J205" s="8">
        <v>-1.6E-2</v>
      </c>
      <c r="K205" s="8">
        <v>5.5E-2</v>
      </c>
      <c r="L205" s="8">
        <v>0.3548</v>
      </c>
      <c r="M205" s="8">
        <v>0.98160000000000003</v>
      </c>
      <c r="N205" s="8">
        <v>0.99529999999999996</v>
      </c>
      <c r="O205" s="9">
        <f t="shared" si="3"/>
        <v>4.6593747016405711E-3</v>
      </c>
      <c r="P205" s="11" t="s">
        <v>256</v>
      </c>
    </row>
    <row r="206" spans="1:16" x14ac:dyDescent="0.3">
      <c r="A206" s="6">
        <v>205</v>
      </c>
      <c r="B206" s="6" t="s">
        <v>240</v>
      </c>
      <c r="C206" s="6" t="s">
        <v>205</v>
      </c>
      <c r="D206" s="7">
        <v>9109</v>
      </c>
      <c r="E206" s="6">
        <v>161</v>
      </c>
      <c r="F206" s="7">
        <v>8939</v>
      </c>
      <c r="G206" s="7">
        <v>10038</v>
      </c>
      <c r="H206" s="6">
        <v>177</v>
      </c>
      <c r="I206" s="7">
        <v>907419</v>
      </c>
      <c r="J206" s="8">
        <v>-6.0000000000000001E-3</v>
      </c>
      <c r="K206" s="8">
        <v>6.6000000000000003E-2</v>
      </c>
      <c r="L206" s="8">
        <v>0.49399999999999999</v>
      </c>
      <c r="M206" s="8">
        <v>0.98229999999999995</v>
      </c>
      <c r="N206" s="8">
        <v>0.99</v>
      </c>
      <c r="O206" s="9">
        <f t="shared" si="3"/>
        <v>1.0038361550727943E-2</v>
      </c>
      <c r="P206" s="11" t="s">
        <v>256</v>
      </c>
    </row>
    <row r="207" spans="1:16" x14ac:dyDescent="0.3">
      <c r="A207" s="6">
        <v>206</v>
      </c>
      <c r="B207" s="6" t="s">
        <v>234</v>
      </c>
      <c r="C207" s="6" t="s">
        <v>206</v>
      </c>
      <c r="D207" s="7">
        <v>9106</v>
      </c>
      <c r="E207" s="6">
        <v>146</v>
      </c>
      <c r="F207" s="7">
        <v>8954</v>
      </c>
      <c r="G207" s="7">
        <v>91509</v>
      </c>
      <c r="H207" s="7">
        <v>1467</v>
      </c>
      <c r="I207" s="7">
        <v>99509</v>
      </c>
      <c r="J207" s="8">
        <v>-0.20100000000000001</v>
      </c>
      <c r="K207" s="8">
        <v>5.7000000000000002E-2</v>
      </c>
      <c r="L207" s="8">
        <v>0.56499999999999995</v>
      </c>
      <c r="M207" s="8">
        <v>0.98399999999999999</v>
      </c>
      <c r="N207" s="8">
        <v>0.90849999999999997</v>
      </c>
      <c r="O207" s="9">
        <f t="shared" si="3"/>
        <v>9.1509310715613662E-2</v>
      </c>
      <c r="P207" s="11" t="s">
        <v>254</v>
      </c>
    </row>
    <row r="208" spans="1:16" x14ac:dyDescent="0.3">
      <c r="A208" s="6">
        <v>207</v>
      </c>
      <c r="B208" s="6" t="s">
        <v>240</v>
      </c>
      <c r="C208" s="6" t="s">
        <v>207</v>
      </c>
      <c r="D208" s="7">
        <v>8090</v>
      </c>
      <c r="E208" s="6">
        <v>295</v>
      </c>
      <c r="F208" s="7">
        <v>7783</v>
      </c>
      <c r="G208" s="7">
        <v>1525</v>
      </c>
      <c r="H208" s="6">
        <v>56</v>
      </c>
      <c r="I208" s="7">
        <v>5305117</v>
      </c>
      <c r="J208" s="8">
        <v>-0.03</v>
      </c>
      <c r="K208" s="8">
        <v>0.09</v>
      </c>
      <c r="L208" s="8">
        <v>0.72650000000000003</v>
      </c>
      <c r="M208" s="8">
        <v>0.96389999999999998</v>
      </c>
      <c r="N208" s="8">
        <v>0.99850000000000005</v>
      </c>
      <c r="O208" s="9">
        <f t="shared" si="3"/>
        <v>1.5249428052199413E-3</v>
      </c>
      <c r="P208" s="11" t="s">
        <v>256</v>
      </c>
    </row>
    <row r="209" spans="1:16" x14ac:dyDescent="0.3">
      <c r="A209" s="6">
        <v>208</v>
      </c>
      <c r="B209" s="6" t="s">
        <v>240</v>
      </c>
      <c r="C209" s="6" t="s">
        <v>208</v>
      </c>
      <c r="D209" s="7">
        <v>7779</v>
      </c>
      <c r="E209" s="6">
        <v>126</v>
      </c>
      <c r="F209" s="7">
        <v>7653</v>
      </c>
      <c r="G209" s="6">
        <v>937</v>
      </c>
      <c r="H209" s="6">
        <v>15</v>
      </c>
      <c r="I209" s="7">
        <v>8306436</v>
      </c>
      <c r="J209" s="8">
        <v>-2.1999999999999999E-2</v>
      </c>
      <c r="K209" s="8">
        <v>6.8000000000000005E-2</v>
      </c>
      <c r="L209" s="8">
        <v>0.68579999999999997</v>
      </c>
      <c r="M209" s="8">
        <v>0.98380000000000001</v>
      </c>
      <c r="N209" s="8">
        <v>0.99909999999999999</v>
      </c>
      <c r="O209" s="9">
        <f t="shared" si="3"/>
        <v>9.3650273113523056E-4</v>
      </c>
      <c r="P209" s="11" t="s">
        <v>256</v>
      </c>
    </row>
    <row r="210" spans="1:16" x14ac:dyDescent="0.3">
      <c r="A210" s="6">
        <v>209</v>
      </c>
      <c r="B210" s="6" t="s">
        <v>240</v>
      </c>
      <c r="C210" s="6" t="s">
        <v>209</v>
      </c>
      <c r="D210" s="7">
        <v>7701</v>
      </c>
      <c r="E210" s="6">
        <v>194</v>
      </c>
      <c r="F210" s="7">
        <v>4874</v>
      </c>
      <c r="G210" s="6">
        <v>442</v>
      </c>
      <c r="H210" s="6">
        <v>11</v>
      </c>
      <c r="I210" s="7">
        <v>17413580</v>
      </c>
      <c r="J210" s="8">
        <v>-8.9999999999999993E-3</v>
      </c>
      <c r="K210" s="8">
        <v>0.04</v>
      </c>
      <c r="L210" s="8">
        <v>0.27889999999999998</v>
      </c>
      <c r="M210" s="8">
        <v>0.9748</v>
      </c>
      <c r="N210" s="8">
        <v>0.99960000000000004</v>
      </c>
      <c r="O210" s="9">
        <f t="shared" si="3"/>
        <v>4.4224105554400647E-4</v>
      </c>
      <c r="P210" s="11" t="s">
        <v>256</v>
      </c>
    </row>
    <row r="211" spans="1:16" x14ac:dyDescent="0.3">
      <c r="A211" s="6">
        <v>210</v>
      </c>
      <c r="B211" s="6" t="s">
        <v>234</v>
      </c>
      <c r="C211" s="6" t="s">
        <v>210</v>
      </c>
      <c r="D211" s="7">
        <v>7392</v>
      </c>
      <c r="E211" s="6">
        <v>64</v>
      </c>
      <c r="F211" s="7">
        <v>7328</v>
      </c>
      <c r="G211" s="7">
        <v>241600</v>
      </c>
      <c r="H211" s="7">
        <v>2092</v>
      </c>
      <c r="I211" s="7">
        <v>30596</v>
      </c>
      <c r="J211" s="8">
        <v>-5.8000000000000003E-2</v>
      </c>
      <c r="K211" s="6" t="s">
        <v>257</v>
      </c>
      <c r="L211" s="8">
        <v>0.505</v>
      </c>
      <c r="M211" s="8">
        <v>0.99129999999999996</v>
      </c>
      <c r="N211" s="8">
        <v>0.75849999999999995</v>
      </c>
      <c r="O211" s="9">
        <f t="shared" si="3"/>
        <v>0.24160020917767028</v>
      </c>
      <c r="P211" s="11" t="s">
        <v>254</v>
      </c>
    </row>
    <row r="212" spans="1:16" x14ac:dyDescent="0.3">
      <c r="A212" s="6">
        <v>211</v>
      </c>
      <c r="B212" s="6" t="s">
        <v>239</v>
      </c>
      <c r="C212" s="6" t="s">
        <v>211</v>
      </c>
      <c r="D212" s="7">
        <v>7203</v>
      </c>
      <c r="E212" s="6">
        <v>2</v>
      </c>
      <c r="F212" s="7">
        <v>7150</v>
      </c>
      <c r="G212" s="7">
        <v>409937</v>
      </c>
      <c r="H212" s="6">
        <v>114</v>
      </c>
      <c r="I212" s="7">
        <v>17571</v>
      </c>
      <c r="J212" s="6" t="s">
        <v>257</v>
      </c>
      <c r="K212" s="6" t="s">
        <v>257</v>
      </c>
      <c r="L212" s="8">
        <v>0.83599999999999997</v>
      </c>
      <c r="M212" s="8">
        <v>0.99970000000000003</v>
      </c>
      <c r="N212" s="8">
        <v>0.59009999999999996</v>
      </c>
      <c r="O212" s="9">
        <f t="shared" si="3"/>
        <v>0.40993682772750556</v>
      </c>
      <c r="P212" s="11" t="s">
        <v>256</v>
      </c>
    </row>
    <row r="213" spans="1:16" x14ac:dyDescent="0.3">
      <c r="A213" s="6">
        <v>212</v>
      </c>
      <c r="B213" s="6" t="s">
        <v>240</v>
      </c>
      <c r="C213" s="6" t="s">
        <v>212</v>
      </c>
      <c r="D213" s="7">
        <v>6778</v>
      </c>
      <c r="E213" s="6">
        <v>80</v>
      </c>
      <c r="F213" s="7">
        <v>6685</v>
      </c>
      <c r="G213" s="7">
        <v>29770</v>
      </c>
      <c r="H213" s="6">
        <v>351</v>
      </c>
      <c r="I213" s="7">
        <v>227679</v>
      </c>
      <c r="J213" s="8">
        <v>-6.5000000000000002E-2</v>
      </c>
      <c r="K213" s="8">
        <v>8.6999999999999994E-2</v>
      </c>
      <c r="L213" s="8">
        <v>0.40400000000000003</v>
      </c>
      <c r="M213" s="8">
        <v>0.98819999999999997</v>
      </c>
      <c r="N213" s="8">
        <v>0.97019999999999995</v>
      </c>
      <c r="O213" s="9">
        <f t="shared" si="3"/>
        <v>2.9769983178070881E-2</v>
      </c>
      <c r="P213" s="11" t="s">
        <v>255</v>
      </c>
    </row>
    <row r="214" spans="1:16" x14ac:dyDescent="0.3">
      <c r="A214" s="6">
        <v>213</v>
      </c>
      <c r="B214" s="6" t="s">
        <v>234</v>
      </c>
      <c r="C214" s="6" t="s">
        <v>213</v>
      </c>
      <c r="D214" s="7">
        <v>6752</v>
      </c>
      <c r="E214" s="6">
        <v>40</v>
      </c>
      <c r="F214" s="7">
        <v>6709</v>
      </c>
      <c r="G214" s="7">
        <v>169900</v>
      </c>
      <c r="H214" s="7">
        <v>1007</v>
      </c>
      <c r="I214" s="7">
        <v>39741</v>
      </c>
      <c r="J214" s="6" t="s">
        <v>257</v>
      </c>
      <c r="K214" s="6" t="s">
        <v>257</v>
      </c>
      <c r="L214" s="8">
        <v>0.63400000000000001</v>
      </c>
      <c r="M214" s="8">
        <v>0.99409999999999998</v>
      </c>
      <c r="N214" s="8">
        <v>0.83020000000000005</v>
      </c>
      <c r="O214" s="9">
        <f t="shared" si="3"/>
        <v>0.16990010316801288</v>
      </c>
      <c r="P214" s="11" t="s">
        <v>254</v>
      </c>
    </row>
    <row r="215" spans="1:16" x14ac:dyDescent="0.3">
      <c r="A215" s="6">
        <v>214</v>
      </c>
      <c r="B215" s="6" t="s">
        <v>234</v>
      </c>
      <c r="C215" s="6" t="s">
        <v>214</v>
      </c>
      <c r="D215" s="7">
        <v>6607</v>
      </c>
      <c r="E215" s="6">
        <v>48</v>
      </c>
      <c r="F215" s="7">
        <v>6559</v>
      </c>
      <c r="G215" s="7">
        <v>122645</v>
      </c>
      <c r="H215" s="6">
        <v>891</v>
      </c>
      <c r="I215" s="7">
        <v>53871</v>
      </c>
      <c r="J215" s="8">
        <v>-0.14599999999999999</v>
      </c>
      <c r="K215" s="8">
        <v>6.3E-2</v>
      </c>
      <c r="L215" s="8">
        <v>0.54900000000000004</v>
      </c>
      <c r="M215" s="8">
        <v>0.99270000000000003</v>
      </c>
      <c r="N215" s="8">
        <v>0.87729999999999997</v>
      </c>
      <c r="O215" s="9">
        <f t="shared" si="3"/>
        <v>0.12264483673961872</v>
      </c>
      <c r="P215" s="11" t="s">
        <v>255</v>
      </c>
    </row>
    <row r="216" spans="1:16" x14ac:dyDescent="0.3">
      <c r="A216" s="6">
        <v>215</v>
      </c>
      <c r="B216" s="6" t="s">
        <v>239</v>
      </c>
      <c r="C216" s="6" t="s">
        <v>215</v>
      </c>
      <c r="D216" s="7">
        <v>6290</v>
      </c>
      <c r="E216" s="6">
        <v>10</v>
      </c>
      <c r="F216" s="7">
        <v>6276</v>
      </c>
      <c r="G216" s="7">
        <v>344979</v>
      </c>
      <c r="H216" s="6">
        <v>548</v>
      </c>
      <c r="I216" s="7">
        <v>18233</v>
      </c>
      <c r="J216" s="8">
        <v>-0.11</v>
      </c>
      <c r="K216" s="8">
        <v>8.7999999999999995E-2</v>
      </c>
      <c r="L216" s="10">
        <v>1</v>
      </c>
      <c r="M216" s="8">
        <v>0.99839999999999995</v>
      </c>
      <c r="N216" s="8">
        <v>0.65500000000000003</v>
      </c>
      <c r="O216" s="9">
        <f t="shared" si="3"/>
        <v>0.34497888444030056</v>
      </c>
      <c r="P216" s="11" t="s">
        <v>255</v>
      </c>
    </row>
    <row r="217" spans="1:16" x14ac:dyDescent="0.3">
      <c r="A217" s="6">
        <v>216</v>
      </c>
      <c r="B217" s="6" t="s">
        <v>234</v>
      </c>
      <c r="C217" s="6" t="s">
        <v>216</v>
      </c>
      <c r="D217" s="7">
        <v>5507</v>
      </c>
      <c r="E217" s="6">
        <v>6</v>
      </c>
      <c r="F217" s="7">
        <v>5501</v>
      </c>
      <c r="G217" s="7">
        <v>553746</v>
      </c>
      <c r="H217" s="6">
        <v>603</v>
      </c>
      <c r="I217" s="7">
        <v>9945</v>
      </c>
      <c r="J217" s="6" t="s">
        <v>257</v>
      </c>
      <c r="K217" s="6" t="s">
        <v>257</v>
      </c>
      <c r="L217" s="8">
        <v>0.77200000000000002</v>
      </c>
      <c r="M217" s="8">
        <v>0.99890000000000001</v>
      </c>
      <c r="N217" s="8">
        <v>0.44590000000000002</v>
      </c>
      <c r="O217" s="9">
        <f t="shared" si="3"/>
        <v>0.55374560080442436</v>
      </c>
      <c r="P217" s="11" t="s">
        <v>255</v>
      </c>
    </row>
    <row r="218" spans="1:16" x14ac:dyDescent="0.3">
      <c r="A218" s="6">
        <v>217</v>
      </c>
      <c r="B218" s="6" t="s">
        <v>239</v>
      </c>
      <c r="C218" s="6" t="s">
        <v>217</v>
      </c>
      <c r="D218" s="7">
        <v>5393</v>
      </c>
      <c r="E218" s="6">
        <v>1</v>
      </c>
      <c r="F218" s="7">
        <v>5347</v>
      </c>
      <c r="G218" s="7">
        <v>494635</v>
      </c>
      <c r="H218" s="6">
        <v>92</v>
      </c>
      <c r="I218" s="7">
        <v>10903</v>
      </c>
      <c r="J218" s="8">
        <v>-2.3E-2</v>
      </c>
      <c r="K218" s="6" t="s">
        <v>257</v>
      </c>
      <c r="L218" s="10">
        <v>1</v>
      </c>
      <c r="M218" s="8">
        <v>0.99980000000000002</v>
      </c>
      <c r="N218" s="8">
        <v>0.50539999999999996</v>
      </c>
      <c r="O218" s="9">
        <f t="shared" si="3"/>
        <v>0.4946345042648812</v>
      </c>
      <c r="P218" s="11" t="s">
        <v>256</v>
      </c>
    </row>
    <row r="219" spans="1:16" x14ac:dyDescent="0.3">
      <c r="A219" s="6">
        <v>218</v>
      </c>
      <c r="B219" s="6" t="s">
        <v>239</v>
      </c>
      <c r="C219" s="6" t="s">
        <v>218</v>
      </c>
      <c r="D219" s="7">
        <v>5085</v>
      </c>
      <c r="E219" s="6">
        <v>24</v>
      </c>
      <c r="F219" s="7">
        <v>2703</v>
      </c>
      <c r="G219" s="7">
        <v>41201</v>
      </c>
      <c r="H219" s="6">
        <v>194</v>
      </c>
      <c r="I219" s="7">
        <v>123419</v>
      </c>
      <c r="J219" s="8">
        <v>-5.0000000000000001E-3</v>
      </c>
      <c r="K219" s="8">
        <v>7.0000000000000007E-2</v>
      </c>
      <c r="L219" s="8">
        <v>0.56499999999999995</v>
      </c>
      <c r="M219" s="8">
        <v>0.99529999999999996</v>
      </c>
      <c r="N219" s="8">
        <v>0.95879999999999999</v>
      </c>
      <c r="O219" s="9">
        <f t="shared" si="3"/>
        <v>4.1201111660279212E-2</v>
      </c>
      <c r="P219" s="11" t="s">
        <v>255</v>
      </c>
    </row>
    <row r="220" spans="1:16" x14ac:dyDescent="0.3">
      <c r="A220" s="6">
        <v>219</v>
      </c>
      <c r="B220" s="6" t="s">
        <v>234</v>
      </c>
      <c r="C220" s="6" t="s">
        <v>219</v>
      </c>
      <c r="D220" s="7">
        <v>3904</v>
      </c>
      <c r="E220" s="6">
        <v>12</v>
      </c>
      <c r="F220" s="7">
        <v>3892</v>
      </c>
      <c r="G220" s="7">
        <v>256336</v>
      </c>
      <c r="H220" s="6">
        <v>788</v>
      </c>
      <c r="I220" s="7">
        <v>15230</v>
      </c>
      <c r="J220" s="8">
        <v>-0.24399999999999999</v>
      </c>
      <c r="K220" s="6" t="s">
        <v>257</v>
      </c>
      <c r="L220" s="8">
        <v>0.53600000000000003</v>
      </c>
      <c r="M220" s="8">
        <v>0.99690000000000001</v>
      </c>
      <c r="N220" s="8">
        <v>0.74370000000000003</v>
      </c>
      <c r="O220" s="9">
        <f t="shared" si="3"/>
        <v>0.25633617859487851</v>
      </c>
      <c r="P220" s="11" t="s">
        <v>255</v>
      </c>
    </row>
    <row r="221" spans="1:16" x14ac:dyDescent="0.3">
      <c r="A221" s="6">
        <v>220</v>
      </c>
      <c r="B221" s="6" t="s">
        <v>239</v>
      </c>
      <c r="C221" s="6" t="s">
        <v>220</v>
      </c>
      <c r="D221" s="7">
        <v>3550</v>
      </c>
      <c r="E221" s="6">
        <v>8</v>
      </c>
      <c r="F221" s="6">
        <v>438</v>
      </c>
      <c r="G221" s="7">
        <v>323256</v>
      </c>
      <c r="H221" s="6">
        <v>728</v>
      </c>
      <c r="I221" s="7">
        <v>10982</v>
      </c>
      <c r="J221" s="6" t="s">
        <v>257</v>
      </c>
      <c r="K221" s="6" t="s">
        <v>257</v>
      </c>
      <c r="L221" s="8">
        <v>0.61899999999999999</v>
      </c>
      <c r="M221" s="8">
        <v>0.99770000000000003</v>
      </c>
      <c r="N221" s="8">
        <v>0.67669999999999997</v>
      </c>
      <c r="O221" s="9">
        <f t="shared" si="3"/>
        <v>0.32325623747951193</v>
      </c>
      <c r="P221" s="11" t="s">
        <v>255</v>
      </c>
    </row>
    <row r="222" spans="1:16" x14ac:dyDescent="0.3">
      <c r="A222" s="6">
        <v>221</v>
      </c>
      <c r="B222" s="6" t="s">
        <v>234</v>
      </c>
      <c r="C222" s="6" t="s">
        <v>221</v>
      </c>
      <c r="D222" s="7">
        <v>3452</v>
      </c>
      <c r="E222" s="6">
        <v>2</v>
      </c>
      <c r="F222" s="7">
        <v>2449</v>
      </c>
      <c r="G222" s="7">
        <v>599410</v>
      </c>
      <c r="H222" s="6">
        <v>347</v>
      </c>
      <c r="I222" s="7">
        <v>5759</v>
      </c>
      <c r="J222" s="6" t="s">
        <v>257</v>
      </c>
      <c r="K222" s="6" t="s">
        <v>257</v>
      </c>
      <c r="L222" s="6" t="s">
        <v>244</v>
      </c>
      <c r="M222" s="8">
        <v>0.99939999999999996</v>
      </c>
      <c r="N222" s="8">
        <v>0.40150000000000002</v>
      </c>
      <c r="O222" s="9">
        <f t="shared" si="3"/>
        <v>0.59940961972564677</v>
      </c>
      <c r="P222" s="11" t="s">
        <v>255</v>
      </c>
    </row>
    <row r="223" spans="1:16" x14ac:dyDescent="0.3">
      <c r="A223" s="6">
        <v>222</v>
      </c>
      <c r="B223" s="6" t="s">
        <v>239</v>
      </c>
      <c r="C223" s="6" t="s">
        <v>222</v>
      </c>
      <c r="D223" s="7">
        <v>2943</v>
      </c>
      <c r="E223" s="6">
        <v>1</v>
      </c>
      <c r="F223" s="7">
        <v>2942</v>
      </c>
      <c r="G223" s="7">
        <v>243909</v>
      </c>
      <c r="H223" s="6">
        <v>83</v>
      </c>
      <c r="I223" s="7">
        <v>12066</v>
      </c>
      <c r="J223" s="8">
        <v>0.02</v>
      </c>
      <c r="K223" s="8">
        <v>6.8000000000000005E-2</v>
      </c>
      <c r="L223" s="8">
        <v>0.91100000000000003</v>
      </c>
      <c r="M223" s="8">
        <v>0.99970000000000003</v>
      </c>
      <c r="N223" s="8">
        <v>0.75600000000000001</v>
      </c>
      <c r="O223" s="9">
        <f t="shared" si="3"/>
        <v>0.24390850323222277</v>
      </c>
      <c r="P223" s="11" t="s">
        <v>256</v>
      </c>
    </row>
    <row r="224" spans="1:16" x14ac:dyDescent="0.3">
      <c r="A224" s="6">
        <v>223</v>
      </c>
      <c r="B224" s="6" t="s">
        <v>240</v>
      </c>
      <c r="C224" s="6" t="s">
        <v>223</v>
      </c>
      <c r="D224" s="7">
        <v>2166</v>
      </c>
      <c r="E224" s="6" t="s">
        <v>257</v>
      </c>
      <c r="F224" s="6">
        <v>2</v>
      </c>
      <c r="G224" s="7">
        <v>354211</v>
      </c>
      <c r="H224" s="6" t="s">
        <v>257</v>
      </c>
      <c r="I224" s="7">
        <v>6115</v>
      </c>
      <c r="J224" s="6" t="s">
        <v>257</v>
      </c>
      <c r="K224" s="6" t="s">
        <v>257</v>
      </c>
      <c r="L224" s="8">
        <v>0.79600000000000004</v>
      </c>
      <c r="M224" s="6" t="s">
        <v>257</v>
      </c>
      <c r="N224" s="8">
        <v>0.64600000000000002</v>
      </c>
      <c r="O224" s="9">
        <f t="shared" si="3"/>
        <v>0.35421095666394115</v>
      </c>
      <c r="P224" s="11" t="s">
        <v>254</v>
      </c>
    </row>
    <row r="225" spans="1:16" x14ac:dyDescent="0.3">
      <c r="A225" s="6">
        <v>224</v>
      </c>
      <c r="B225" s="6" t="s">
        <v>237</v>
      </c>
      <c r="C225" s="6" t="s">
        <v>224</v>
      </c>
      <c r="D225" s="7">
        <v>1930</v>
      </c>
      <c r="E225" s="6" t="s">
        <v>257</v>
      </c>
      <c r="F225" s="7">
        <v>1930</v>
      </c>
      <c r="G225" s="7">
        <v>545352</v>
      </c>
      <c r="H225" s="6" t="s">
        <v>257</v>
      </c>
      <c r="I225" s="7">
        <v>3539</v>
      </c>
      <c r="J225" s="6" t="s">
        <v>257</v>
      </c>
      <c r="K225" s="6" t="s">
        <v>257</v>
      </c>
      <c r="L225" s="8">
        <v>0.72099999999999997</v>
      </c>
      <c r="M225" s="6" t="s">
        <v>257</v>
      </c>
      <c r="N225" s="8">
        <v>0.45469999999999999</v>
      </c>
      <c r="O225" s="9">
        <f t="shared" si="3"/>
        <v>0.54535179429217295</v>
      </c>
      <c r="P225" s="11" t="s">
        <v>254</v>
      </c>
    </row>
    <row r="226" spans="1:16" x14ac:dyDescent="0.3">
      <c r="A226" s="6">
        <v>225</v>
      </c>
      <c r="B226" s="6" t="s">
        <v>234</v>
      </c>
      <c r="C226" s="6" t="s">
        <v>225</v>
      </c>
      <c r="D226" s="7">
        <v>1403</v>
      </c>
      <c r="E226" s="6">
        <v>8</v>
      </c>
      <c r="F226" s="7">
        <v>1376</v>
      </c>
      <c r="G226" s="7">
        <v>282578</v>
      </c>
      <c r="H226" s="7">
        <v>1611</v>
      </c>
      <c r="I226" s="7">
        <v>4965</v>
      </c>
      <c r="J226" s="6" t="s">
        <v>257</v>
      </c>
      <c r="K226" s="6" t="s">
        <v>257</v>
      </c>
      <c r="L226" s="8">
        <v>0.65600000000000003</v>
      </c>
      <c r="M226" s="8">
        <v>0.99429999999999996</v>
      </c>
      <c r="N226" s="8">
        <v>0.71789999999999998</v>
      </c>
      <c r="O226" s="9">
        <f t="shared" si="3"/>
        <v>0.28257804632426992</v>
      </c>
      <c r="P226" s="11" t="s">
        <v>254</v>
      </c>
    </row>
    <row r="227" spans="1:16" x14ac:dyDescent="0.3">
      <c r="A227" s="6">
        <v>226</v>
      </c>
      <c r="B227" s="6" t="s">
        <v>239</v>
      </c>
      <c r="C227" s="6" t="s">
        <v>226</v>
      </c>
      <c r="D227" s="7">
        <v>1059</v>
      </c>
      <c r="E227" s="6" t="s">
        <v>257</v>
      </c>
      <c r="F227" s="7">
        <v>1056</v>
      </c>
      <c r="G227" s="7">
        <v>652898</v>
      </c>
      <c r="H227" s="6" t="s">
        <v>257</v>
      </c>
      <c r="I227" s="7">
        <v>1622</v>
      </c>
      <c r="J227" s="6" t="s">
        <v>257</v>
      </c>
      <c r="K227" s="6" t="s">
        <v>257</v>
      </c>
      <c r="L227" s="10">
        <v>1</v>
      </c>
      <c r="M227" s="6" t="s">
        <v>257</v>
      </c>
      <c r="N227" s="8">
        <v>0.34710000000000002</v>
      </c>
      <c r="O227" s="9">
        <f t="shared" si="3"/>
        <v>0.65289765721331694</v>
      </c>
      <c r="P227" s="11" t="s">
        <v>254</v>
      </c>
    </row>
    <row r="228" spans="1:16" x14ac:dyDescent="0.3">
      <c r="A228" s="6">
        <v>227</v>
      </c>
      <c r="B228" s="6" t="s">
        <v>258</v>
      </c>
      <c r="C228" s="6" t="s">
        <v>227</v>
      </c>
      <c r="D228" s="6">
        <v>712</v>
      </c>
      <c r="E228" s="6">
        <v>13</v>
      </c>
      <c r="F228" s="6">
        <v>699</v>
      </c>
      <c r="G228" s="6" t="s">
        <v>257</v>
      </c>
      <c r="H228" s="6" t="s">
        <v>257</v>
      </c>
      <c r="I228" s="6" t="s">
        <v>257</v>
      </c>
      <c r="J228" s="6" t="s">
        <v>257</v>
      </c>
      <c r="K228" s="6" t="s">
        <v>257</v>
      </c>
      <c r="L228" s="6" t="s">
        <v>257</v>
      </c>
      <c r="M228" s="8">
        <v>0.98170000000000002</v>
      </c>
      <c r="N228" s="6" t="s">
        <v>257</v>
      </c>
      <c r="O228" s="9" t="s">
        <v>257</v>
      </c>
      <c r="P228" s="11" t="s">
        <v>257</v>
      </c>
    </row>
    <row r="229" spans="1:16" x14ac:dyDescent="0.3">
      <c r="A229" s="6">
        <v>228</v>
      </c>
      <c r="B229" s="6" t="s">
        <v>239</v>
      </c>
      <c r="C229" s="6" t="s">
        <v>228</v>
      </c>
      <c r="D229" s="6">
        <v>80</v>
      </c>
      <c r="E229" s="6" t="s">
        <v>257</v>
      </c>
      <c r="F229" s="6" t="s">
        <v>257</v>
      </c>
      <c r="G229" s="7">
        <v>58055</v>
      </c>
      <c r="H229" s="6" t="s">
        <v>257</v>
      </c>
      <c r="I229" s="7">
        <v>1378</v>
      </c>
      <c r="J229" s="6" t="s">
        <v>257</v>
      </c>
      <c r="K229" s="6" t="s">
        <v>257</v>
      </c>
      <c r="L229" s="6" t="s">
        <v>260</v>
      </c>
      <c r="M229" s="6" t="s">
        <v>257</v>
      </c>
      <c r="N229" s="8">
        <v>0.94199999999999995</v>
      </c>
      <c r="O229" s="9">
        <f t="shared" si="3"/>
        <v>5.8055152394775038E-2</v>
      </c>
      <c r="P229" s="11" t="s">
        <v>254</v>
      </c>
    </row>
    <row r="230" spans="1:16" x14ac:dyDescent="0.3">
      <c r="A230" s="6">
        <v>229</v>
      </c>
      <c r="B230" s="6" t="s">
        <v>259</v>
      </c>
      <c r="C230" s="6" t="s">
        <v>229</v>
      </c>
      <c r="D230" s="6">
        <v>29</v>
      </c>
      <c r="E230" s="6" t="s">
        <v>257</v>
      </c>
      <c r="F230" s="6">
        <v>29</v>
      </c>
      <c r="G230" s="7">
        <v>36295</v>
      </c>
      <c r="H230" s="6" t="s">
        <v>257</v>
      </c>
      <c r="I230" s="6">
        <v>799</v>
      </c>
      <c r="J230" s="6" t="s">
        <v>257</v>
      </c>
      <c r="K230" s="6" t="s">
        <v>257</v>
      </c>
      <c r="L230" s="6" t="s">
        <v>244</v>
      </c>
      <c r="M230" s="6" t="s">
        <v>257</v>
      </c>
      <c r="N230" s="8">
        <v>0.9637</v>
      </c>
      <c r="O230" s="9">
        <f t="shared" si="3"/>
        <v>3.629536921151439E-2</v>
      </c>
      <c r="P230" s="11" t="s">
        <v>254</v>
      </c>
    </row>
    <row r="231" spans="1:16" x14ac:dyDescent="0.3">
      <c r="A231" s="6">
        <v>230</v>
      </c>
      <c r="B231" s="6" t="s">
        <v>240</v>
      </c>
      <c r="C231" s="6" t="s">
        <v>230</v>
      </c>
      <c r="D231" s="6">
        <v>10</v>
      </c>
      <c r="E231" s="6">
        <v>1</v>
      </c>
      <c r="F231" s="6">
        <v>9</v>
      </c>
      <c r="G231" s="6">
        <v>16</v>
      </c>
      <c r="H231" s="6">
        <v>2</v>
      </c>
      <c r="I231" s="7">
        <v>626161</v>
      </c>
      <c r="J231" s="6" t="s">
        <v>257</v>
      </c>
      <c r="K231" s="6" t="s">
        <v>257</v>
      </c>
      <c r="L231" s="6" t="s">
        <v>257</v>
      </c>
      <c r="M231" s="8">
        <v>0.9</v>
      </c>
      <c r="N231" s="8">
        <v>1</v>
      </c>
      <c r="O231" s="9">
        <f t="shared" si="3"/>
        <v>1.5970333508474656E-5</v>
      </c>
      <c r="P231" s="11" t="s">
        <v>256</v>
      </c>
    </row>
    <row r="232" spans="1:16" x14ac:dyDescent="0.3">
      <c r="A232" s="6">
        <v>231</v>
      </c>
      <c r="B232" s="6" t="s">
        <v>258</v>
      </c>
      <c r="C232" s="6" t="s">
        <v>231</v>
      </c>
      <c r="D232" s="6">
        <v>9</v>
      </c>
      <c r="E232" s="6">
        <v>2</v>
      </c>
      <c r="F232" s="6">
        <v>7</v>
      </c>
      <c r="G232" s="6" t="s">
        <v>257</v>
      </c>
      <c r="H232" s="6" t="s">
        <v>257</v>
      </c>
      <c r="I232" s="6" t="s">
        <v>257</v>
      </c>
      <c r="J232" s="6" t="s">
        <v>257</v>
      </c>
      <c r="K232" s="6" t="s">
        <v>257</v>
      </c>
      <c r="L232" s="6" t="s">
        <v>257</v>
      </c>
      <c r="M232" s="8">
        <v>0.77780000000000005</v>
      </c>
      <c r="N232" s="6" t="s">
        <v>257</v>
      </c>
      <c r="O232" s="9" t="s">
        <v>257</v>
      </c>
      <c r="P232" s="11" t="s">
        <v>257</v>
      </c>
    </row>
    <row r="233" spans="1:16" ht="15" thickBot="1" x14ac:dyDescent="0.35">
      <c r="N233" s="2"/>
    </row>
    <row r="234" spans="1:16" ht="15" thickBot="1" x14ac:dyDescent="0.35">
      <c r="N234" s="1"/>
    </row>
    <row r="235" spans="1:16" ht="15" thickBot="1" x14ac:dyDescent="0.35">
      <c r="N235" s="1"/>
    </row>
    <row r="236" spans="1:16" ht="15" thickBot="1" x14ac:dyDescent="0.35">
      <c r="N236" s="1"/>
    </row>
    <row r="237" spans="1:16" ht="15" thickBot="1" x14ac:dyDescent="0.35">
      <c r="N237" s="1"/>
    </row>
    <row r="238" spans="1:16" ht="15" thickBot="1" x14ac:dyDescent="0.35">
      <c r="N238" s="1"/>
    </row>
    <row r="239" spans="1:16" ht="15" thickBot="1" x14ac:dyDescent="0.35">
      <c r="N239" s="1"/>
    </row>
    <row r="240" spans="1:16" ht="15" thickBot="1" x14ac:dyDescent="0.35">
      <c r="N240" s="1"/>
    </row>
    <row r="241" spans="14:14" ht="15" thickBot="1" x14ac:dyDescent="0.35">
      <c r="N241" s="1"/>
    </row>
    <row r="242" spans="14:14" ht="15" thickBot="1" x14ac:dyDescent="0.35">
      <c r="N242" s="1"/>
    </row>
    <row r="243" spans="14:14" ht="15" thickBot="1" x14ac:dyDescent="0.35">
      <c r="N243" s="1"/>
    </row>
    <row r="244" spans="14:14" ht="15" thickBot="1" x14ac:dyDescent="0.35">
      <c r="N244" s="1"/>
    </row>
    <row r="245" spans="14:14" ht="15" thickBot="1" x14ac:dyDescent="0.35">
      <c r="N245" s="1"/>
    </row>
    <row r="246" spans="14:14" ht="15" thickBot="1" x14ac:dyDescent="0.35">
      <c r="N246" s="1"/>
    </row>
    <row r="247" spans="14:14" ht="15" thickBot="1" x14ac:dyDescent="0.35">
      <c r="N247" s="1"/>
    </row>
    <row r="248" spans="14:14" ht="15" thickBot="1" x14ac:dyDescent="0.35">
      <c r="N248" s="1"/>
    </row>
    <row r="249" spans="14:14" ht="15" thickBot="1" x14ac:dyDescent="0.35">
      <c r="N249" s="1"/>
    </row>
    <row r="250" spans="14:14" ht="15" thickBot="1" x14ac:dyDescent="0.35">
      <c r="N250" s="1"/>
    </row>
    <row r="251" spans="14:14" ht="15" thickBot="1" x14ac:dyDescent="0.35">
      <c r="N251" s="1"/>
    </row>
    <row r="252" spans="14:14" ht="15" thickBot="1" x14ac:dyDescent="0.35">
      <c r="N252" s="1"/>
    </row>
    <row r="253" spans="14:14" ht="15" thickBot="1" x14ac:dyDescent="0.35">
      <c r="N253" s="1"/>
    </row>
    <row r="254" spans="14:14" ht="15" thickBot="1" x14ac:dyDescent="0.35">
      <c r="N254" s="1"/>
    </row>
    <row r="255" spans="14:14" ht="15" thickBot="1" x14ac:dyDescent="0.35">
      <c r="N255" s="1"/>
    </row>
    <row r="256" spans="14:14" ht="15" thickBot="1" x14ac:dyDescent="0.35">
      <c r="N256" s="1"/>
    </row>
    <row r="257" spans="14:14" ht="15" thickBot="1" x14ac:dyDescent="0.35">
      <c r="N257" s="1"/>
    </row>
    <row r="258" spans="14:14" ht="15" thickBot="1" x14ac:dyDescent="0.35">
      <c r="N258" s="1"/>
    </row>
    <row r="259" spans="14:14" ht="15" thickBot="1" x14ac:dyDescent="0.35">
      <c r="N259" s="1"/>
    </row>
    <row r="260" spans="14:14" ht="15" thickBot="1" x14ac:dyDescent="0.35">
      <c r="N260" s="1"/>
    </row>
    <row r="261" spans="14:14" ht="15" thickBot="1" x14ac:dyDescent="0.35">
      <c r="N261" s="1"/>
    </row>
    <row r="262" spans="14:14" ht="15" thickBot="1" x14ac:dyDescent="0.35">
      <c r="N262" s="1"/>
    </row>
    <row r="263" spans="14:14" ht="15" thickBot="1" x14ac:dyDescent="0.35">
      <c r="N263" s="1"/>
    </row>
    <row r="264" spans="14:14" ht="15" thickBot="1" x14ac:dyDescent="0.35">
      <c r="N264" s="1"/>
    </row>
    <row r="265" spans="14:14" ht="15" thickBot="1" x14ac:dyDescent="0.35">
      <c r="N265" s="1"/>
    </row>
    <row r="266" spans="14:14" ht="15" thickBot="1" x14ac:dyDescent="0.35">
      <c r="N266" s="1"/>
    </row>
    <row r="267" spans="14:14" ht="15" thickBot="1" x14ac:dyDescent="0.35">
      <c r="N267" s="1"/>
    </row>
    <row r="268" spans="14:14" ht="15" thickBot="1" x14ac:dyDescent="0.35">
      <c r="N268" s="1"/>
    </row>
    <row r="269" spans="14:14" ht="15" thickBot="1" x14ac:dyDescent="0.35">
      <c r="N269" s="1"/>
    </row>
    <row r="270" spans="14:14" ht="15" thickBot="1" x14ac:dyDescent="0.35">
      <c r="N270" s="1"/>
    </row>
    <row r="271" spans="14:14" ht="15" thickBot="1" x14ac:dyDescent="0.35">
      <c r="N271" s="1"/>
    </row>
    <row r="272" spans="14:14" ht="15" thickBot="1" x14ac:dyDescent="0.35">
      <c r="N272" s="1"/>
    </row>
    <row r="273" spans="14:14" ht="15" thickBot="1" x14ac:dyDescent="0.35">
      <c r="N273" s="1"/>
    </row>
    <row r="274" spans="14:14" ht="15" thickBot="1" x14ac:dyDescent="0.35">
      <c r="N274" s="1"/>
    </row>
    <row r="275" spans="14:14" ht="15" thickBot="1" x14ac:dyDescent="0.35">
      <c r="N275" s="1"/>
    </row>
    <row r="276" spans="14:14" ht="15" thickBot="1" x14ac:dyDescent="0.35">
      <c r="N276" s="1"/>
    </row>
    <row r="277" spans="14:14" ht="15" thickBot="1" x14ac:dyDescent="0.35">
      <c r="N277" s="1"/>
    </row>
    <row r="278" spans="14:14" ht="15" thickBot="1" x14ac:dyDescent="0.35">
      <c r="N278" s="1"/>
    </row>
    <row r="279" spans="14:14" ht="15" thickBot="1" x14ac:dyDescent="0.35">
      <c r="N279" s="1"/>
    </row>
    <row r="280" spans="14:14" ht="15" thickBot="1" x14ac:dyDescent="0.35">
      <c r="N280" s="1"/>
    </row>
    <row r="281" spans="14:14" ht="15" thickBot="1" x14ac:dyDescent="0.35">
      <c r="N281" s="1"/>
    </row>
    <row r="282" spans="14:14" ht="15" thickBot="1" x14ac:dyDescent="0.35">
      <c r="N282" s="1"/>
    </row>
    <row r="283" spans="14:14" ht="15" thickBot="1" x14ac:dyDescent="0.35">
      <c r="N283" s="1"/>
    </row>
    <row r="284" spans="14:14" ht="15" thickBot="1" x14ac:dyDescent="0.35">
      <c r="N284" s="1"/>
    </row>
    <row r="285" spans="14:14" ht="15" thickBot="1" x14ac:dyDescent="0.35">
      <c r="N285" s="1"/>
    </row>
    <row r="286" spans="14:14" ht="15" thickBot="1" x14ac:dyDescent="0.35">
      <c r="N286" s="1"/>
    </row>
    <row r="287" spans="14:14" ht="15" thickBot="1" x14ac:dyDescent="0.35">
      <c r="N287" s="1"/>
    </row>
    <row r="288" spans="14:14" ht="15" thickBot="1" x14ac:dyDescent="0.35">
      <c r="N288" s="1"/>
    </row>
    <row r="289" spans="14:14" ht="15" thickBot="1" x14ac:dyDescent="0.35">
      <c r="N289" s="1"/>
    </row>
    <row r="290" spans="14:14" ht="15" thickBot="1" x14ac:dyDescent="0.35">
      <c r="N290" s="1"/>
    </row>
    <row r="291" spans="14:14" ht="15" thickBot="1" x14ac:dyDescent="0.35">
      <c r="N291" s="1"/>
    </row>
    <row r="292" spans="14:14" ht="15" thickBot="1" x14ac:dyDescent="0.35">
      <c r="N292" s="1"/>
    </row>
    <row r="293" spans="14:14" ht="15" thickBot="1" x14ac:dyDescent="0.35">
      <c r="N293" s="1"/>
    </row>
    <row r="294" spans="14:14" ht="15" thickBot="1" x14ac:dyDescent="0.35">
      <c r="N294" s="1"/>
    </row>
    <row r="295" spans="14:14" ht="15" thickBot="1" x14ac:dyDescent="0.35">
      <c r="N295" s="1"/>
    </row>
    <row r="296" spans="14:14" ht="15" thickBot="1" x14ac:dyDescent="0.35">
      <c r="N296" s="1"/>
    </row>
    <row r="297" spans="14:14" ht="15" thickBot="1" x14ac:dyDescent="0.35">
      <c r="N297" s="1"/>
    </row>
    <row r="298" spans="14:14" ht="15" thickBot="1" x14ac:dyDescent="0.35">
      <c r="N298" s="1"/>
    </row>
    <row r="299" spans="14:14" ht="15" thickBot="1" x14ac:dyDescent="0.35">
      <c r="N299" s="1"/>
    </row>
    <row r="300" spans="14:14" ht="15" thickBot="1" x14ac:dyDescent="0.35">
      <c r="N300" s="1"/>
    </row>
    <row r="301" spans="14:14" ht="15" thickBot="1" x14ac:dyDescent="0.35">
      <c r="N301" s="1"/>
    </row>
    <row r="302" spans="14:14" ht="15" thickBot="1" x14ac:dyDescent="0.35">
      <c r="N302" s="1"/>
    </row>
    <row r="303" spans="14:14" ht="15" thickBot="1" x14ac:dyDescent="0.35">
      <c r="N303" s="1"/>
    </row>
    <row r="304" spans="14:14" ht="15" thickBot="1" x14ac:dyDescent="0.35">
      <c r="N304" s="1"/>
    </row>
    <row r="305" spans="14:14" ht="15" thickBot="1" x14ac:dyDescent="0.35">
      <c r="N305" s="1"/>
    </row>
    <row r="306" spans="14:14" ht="15" thickBot="1" x14ac:dyDescent="0.35">
      <c r="N306" s="1"/>
    </row>
    <row r="307" spans="14:14" ht="15" thickBot="1" x14ac:dyDescent="0.35">
      <c r="N307" s="1"/>
    </row>
    <row r="308" spans="14:14" ht="15" thickBot="1" x14ac:dyDescent="0.35">
      <c r="N308" s="1"/>
    </row>
    <row r="309" spans="14:14" ht="15" thickBot="1" x14ac:dyDescent="0.35">
      <c r="N309" s="1"/>
    </row>
    <row r="310" spans="14:14" ht="15" thickBot="1" x14ac:dyDescent="0.35">
      <c r="N310" s="1"/>
    </row>
    <row r="311" spans="14:14" ht="15" thickBot="1" x14ac:dyDescent="0.35">
      <c r="N311" s="1"/>
    </row>
    <row r="312" spans="14:14" ht="15" thickBot="1" x14ac:dyDescent="0.35">
      <c r="N312" s="1"/>
    </row>
    <row r="313" spans="14:14" ht="15" thickBot="1" x14ac:dyDescent="0.35">
      <c r="N313" s="1"/>
    </row>
    <row r="314" spans="14:14" ht="15" thickBot="1" x14ac:dyDescent="0.35">
      <c r="N314" s="1"/>
    </row>
    <row r="315" spans="14:14" ht="15" thickBot="1" x14ac:dyDescent="0.35">
      <c r="N315" s="1"/>
    </row>
    <row r="316" spans="14:14" ht="15" thickBot="1" x14ac:dyDescent="0.35">
      <c r="N316" s="1"/>
    </row>
    <row r="317" spans="14:14" ht="15" thickBot="1" x14ac:dyDescent="0.35">
      <c r="N317" s="1"/>
    </row>
    <row r="318" spans="14:14" ht="15" thickBot="1" x14ac:dyDescent="0.35">
      <c r="N318" s="1"/>
    </row>
    <row r="319" spans="14:14" ht="15" thickBot="1" x14ac:dyDescent="0.35">
      <c r="N319" s="1"/>
    </row>
    <row r="320" spans="14:14" ht="15" thickBot="1" x14ac:dyDescent="0.35">
      <c r="N320" s="1"/>
    </row>
    <row r="321" spans="14:14" ht="15" thickBot="1" x14ac:dyDescent="0.35">
      <c r="N321" s="1"/>
    </row>
    <row r="322" spans="14:14" ht="15" thickBot="1" x14ac:dyDescent="0.35">
      <c r="N322" s="1"/>
    </row>
    <row r="323" spans="14:14" ht="15" thickBot="1" x14ac:dyDescent="0.35">
      <c r="N323" s="1"/>
    </row>
    <row r="324" spans="14:14" ht="15" thickBot="1" x14ac:dyDescent="0.35">
      <c r="N324" s="1"/>
    </row>
    <row r="325" spans="14:14" ht="15" thickBot="1" x14ac:dyDescent="0.35">
      <c r="N325" s="1"/>
    </row>
    <row r="326" spans="14:14" ht="15" thickBot="1" x14ac:dyDescent="0.35">
      <c r="N326" s="1"/>
    </row>
    <row r="327" spans="14:14" ht="15" thickBot="1" x14ac:dyDescent="0.35">
      <c r="N327" s="1"/>
    </row>
    <row r="328" spans="14:14" ht="15" thickBot="1" x14ac:dyDescent="0.35">
      <c r="N328" s="1"/>
    </row>
    <row r="329" spans="14:14" ht="15" thickBot="1" x14ac:dyDescent="0.35">
      <c r="N329" s="1"/>
    </row>
    <row r="330" spans="14:14" ht="15" thickBot="1" x14ac:dyDescent="0.35">
      <c r="N330" s="1"/>
    </row>
    <row r="331" spans="14:14" ht="15" thickBot="1" x14ac:dyDescent="0.35">
      <c r="N331" s="1"/>
    </row>
    <row r="332" spans="14:14" ht="15" thickBot="1" x14ac:dyDescent="0.35">
      <c r="N332" s="1"/>
    </row>
    <row r="333" spans="14:14" ht="15" thickBot="1" x14ac:dyDescent="0.35">
      <c r="N333" s="1"/>
    </row>
    <row r="334" spans="14:14" ht="15" thickBot="1" x14ac:dyDescent="0.35">
      <c r="N334" s="1"/>
    </row>
    <row r="335" spans="14:14" ht="15" thickBot="1" x14ac:dyDescent="0.35">
      <c r="N335" s="1"/>
    </row>
    <row r="336" spans="14:14" ht="15" thickBot="1" x14ac:dyDescent="0.35">
      <c r="N336" s="1"/>
    </row>
    <row r="337" spans="14:14" ht="15" thickBot="1" x14ac:dyDescent="0.35">
      <c r="N337" s="1"/>
    </row>
    <row r="338" spans="14:14" ht="15" thickBot="1" x14ac:dyDescent="0.35">
      <c r="N338" s="1"/>
    </row>
    <row r="339" spans="14:14" ht="15" thickBot="1" x14ac:dyDescent="0.35">
      <c r="N339" s="1"/>
    </row>
    <row r="340" spans="14:14" ht="15" thickBot="1" x14ac:dyDescent="0.35">
      <c r="N340" s="1"/>
    </row>
    <row r="341" spans="14:14" ht="15" thickBot="1" x14ac:dyDescent="0.35">
      <c r="N341" s="1"/>
    </row>
    <row r="342" spans="14:14" ht="15" thickBot="1" x14ac:dyDescent="0.35">
      <c r="N342" s="1"/>
    </row>
    <row r="343" spans="14:14" ht="15" thickBot="1" x14ac:dyDescent="0.35">
      <c r="N343" s="1"/>
    </row>
    <row r="344" spans="14:14" ht="15" thickBot="1" x14ac:dyDescent="0.35">
      <c r="N344" s="1"/>
    </row>
    <row r="345" spans="14:14" ht="15" thickBot="1" x14ac:dyDescent="0.35">
      <c r="N345" s="1"/>
    </row>
    <row r="346" spans="14:14" ht="15" thickBot="1" x14ac:dyDescent="0.35">
      <c r="N346" s="1"/>
    </row>
    <row r="347" spans="14:14" ht="15" thickBot="1" x14ac:dyDescent="0.35">
      <c r="N347" s="1"/>
    </row>
    <row r="348" spans="14:14" ht="15" thickBot="1" x14ac:dyDescent="0.35">
      <c r="N348" s="1"/>
    </row>
    <row r="349" spans="14:14" ht="15" thickBot="1" x14ac:dyDescent="0.35">
      <c r="N349" s="1"/>
    </row>
    <row r="350" spans="14:14" ht="15" thickBot="1" x14ac:dyDescent="0.35">
      <c r="N350" s="1"/>
    </row>
    <row r="351" spans="14:14" ht="15" thickBot="1" x14ac:dyDescent="0.35">
      <c r="N351" s="1"/>
    </row>
    <row r="352" spans="14:14" ht="15" thickBot="1" x14ac:dyDescent="0.35">
      <c r="N352" s="1"/>
    </row>
    <row r="353" spans="14:14" ht="15" thickBot="1" x14ac:dyDescent="0.35">
      <c r="N353" s="1"/>
    </row>
    <row r="354" spans="14:14" ht="15" thickBot="1" x14ac:dyDescent="0.35">
      <c r="N354" s="1"/>
    </row>
    <row r="355" spans="14:14" ht="15" thickBot="1" x14ac:dyDescent="0.35">
      <c r="N355" s="1"/>
    </row>
    <row r="356" spans="14:14" ht="15" thickBot="1" x14ac:dyDescent="0.35">
      <c r="N356" s="1"/>
    </row>
    <row r="357" spans="14:14" ht="15" thickBot="1" x14ac:dyDescent="0.35">
      <c r="N357" s="1"/>
    </row>
    <row r="358" spans="14:14" ht="15" thickBot="1" x14ac:dyDescent="0.35">
      <c r="N358" s="1"/>
    </row>
    <row r="359" spans="14:14" ht="15" thickBot="1" x14ac:dyDescent="0.35">
      <c r="N359" s="1"/>
    </row>
    <row r="360" spans="14:14" ht="15" thickBot="1" x14ac:dyDescent="0.35">
      <c r="N360" s="1"/>
    </row>
    <row r="361" spans="14:14" ht="15" thickBot="1" x14ac:dyDescent="0.35">
      <c r="N361" s="1"/>
    </row>
    <row r="362" spans="14:14" ht="15" thickBot="1" x14ac:dyDescent="0.35">
      <c r="N362" s="1"/>
    </row>
    <row r="363" spans="14:14" ht="15" thickBot="1" x14ac:dyDescent="0.35">
      <c r="N363" s="1"/>
    </row>
    <row r="364" spans="14:14" ht="15" thickBot="1" x14ac:dyDescent="0.35">
      <c r="N364" s="1"/>
    </row>
    <row r="365" spans="14:14" ht="15" thickBot="1" x14ac:dyDescent="0.35">
      <c r="N365" s="1"/>
    </row>
    <row r="366" spans="14:14" ht="15" thickBot="1" x14ac:dyDescent="0.35">
      <c r="N366" s="1"/>
    </row>
    <row r="367" spans="14:14" ht="15" thickBot="1" x14ac:dyDescent="0.35">
      <c r="N367" s="1"/>
    </row>
    <row r="368" spans="14:14" ht="15" thickBot="1" x14ac:dyDescent="0.35">
      <c r="N368" s="1"/>
    </row>
    <row r="369" spans="14:14" ht="15" thickBot="1" x14ac:dyDescent="0.35">
      <c r="N369" s="1"/>
    </row>
    <row r="370" spans="14:14" ht="15" thickBot="1" x14ac:dyDescent="0.35">
      <c r="N370" s="1"/>
    </row>
    <row r="371" spans="14:14" ht="15" thickBot="1" x14ac:dyDescent="0.35">
      <c r="N371" s="1"/>
    </row>
    <row r="372" spans="14:14" ht="15" thickBot="1" x14ac:dyDescent="0.35">
      <c r="N372" s="1"/>
    </row>
    <row r="373" spans="14:14" ht="15" thickBot="1" x14ac:dyDescent="0.35">
      <c r="N373" s="1"/>
    </row>
    <row r="374" spans="14:14" ht="15" thickBot="1" x14ac:dyDescent="0.35">
      <c r="N374" s="1"/>
    </row>
    <row r="375" spans="14:14" ht="15" thickBot="1" x14ac:dyDescent="0.35">
      <c r="N375" s="1"/>
    </row>
    <row r="376" spans="14:14" ht="15" thickBot="1" x14ac:dyDescent="0.35">
      <c r="N376" s="1"/>
    </row>
    <row r="377" spans="14:14" ht="15" thickBot="1" x14ac:dyDescent="0.35">
      <c r="N377" s="1"/>
    </row>
    <row r="378" spans="14:14" ht="15" thickBot="1" x14ac:dyDescent="0.35">
      <c r="N378" s="1"/>
    </row>
    <row r="379" spans="14:14" ht="15" thickBot="1" x14ac:dyDescent="0.35">
      <c r="N379" s="1"/>
    </row>
    <row r="380" spans="14:14" ht="15" thickBot="1" x14ac:dyDescent="0.35">
      <c r="N380" s="1"/>
    </row>
    <row r="381" spans="14:14" ht="15" thickBot="1" x14ac:dyDescent="0.35">
      <c r="N381" s="1"/>
    </row>
    <row r="382" spans="14:14" ht="15" thickBot="1" x14ac:dyDescent="0.35">
      <c r="N382" s="1"/>
    </row>
    <row r="383" spans="14:14" ht="15" thickBot="1" x14ac:dyDescent="0.35">
      <c r="N383" s="1"/>
    </row>
    <row r="384" spans="14:14" ht="15" thickBot="1" x14ac:dyDescent="0.35">
      <c r="N384" s="1"/>
    </row>
    <row r="385" spans="14:14" ht="15" thickBot="1" x14ac:dyDescent="0.35">
      <c r="N385" s="1"/>
    </row>
    <row r="386" spans="14:14" ht="15" thickBot="1" x14ac:dyDescent="0.35">
      <c r="N386" s="1"/>
    </row>
    <row r="387" spans="14:14" ht="15" thickBot="1" x14ac:dyDescent="0.35">
      <c r="N387" s="1"/>
    </row>
    <row r="388" spans="14:14" ht="15" thickBot="1" x14ac:dyDescent="0.35">
      <c r="N388" s="1"/>
    </row>
    <row r="389" spans="14:14" ht="15" thickBot="1" x14ac:dyDescent="0.35">
      <c r="N389" s="1"/>
    </row>
    <row r="390" spans="14:14" ht="15" thickBot="1" x14ac:dyDescent="0.35">
      <c r="N390" s="1"/>
    </row>
    <row r="391" spans="14:14" ht="15" thickBot="1" x14ac:dyDescent="0.35">
      <c r="N391" s="1"/>
    </row>
    <row r="392" spans="14:14" ht="15" thickBot="1" x14ac:dyDescent="0.35">
      <c r="N392" s="1"/>
    </row>
    <row r="393" spans="14:14" ht="15" thickBot="1" x14ac:dyDescent="0.35">
      <c r="N393" s="1"/>
    </row>
    <row r="394" spans="14:14" ht="15" thickBot="1" x14ac:dyDescent="0.35">
      <c r="N394" s="1"/>
    </row>
    <row r="395" spans="14:14" ht="15" thickBot="1" x14ac:dyDescent="0.35">
      <c r="N395" s="1"/>
    </row>
    <row r="396" spans="14:14" ht="15" thickBot="1" x14ac:dyDescent="0.35">
      <c r="N396" s="1"/>
    </row>
    <row r="397" spans="14:14" ht="15" thickBot="1" x14ac:dyDescent="0.35">
      <c r="N397" s="1"/>
    </row>
    <row r="398" spans="14:14" ht="15" thickBot="1" x14ac:dyDescent="0.35">
      <c r="N398" s="1"/>
    </row>
    <row r="399" spans="14:14" ht="15" thickBot="1" x14ac:dyDescent="0.35">
      <c r="N399" s="1"/>
    </row>
    <row r="400" spans="14:14" ht="15" thickBot="1" x14ac:dyDescent="0.35">
      <c r="N400" s="1"/>
    </row>
    <row r="401" spans="14:14" ht="15" thickBot="1" x14ac:dyDescent="0.35">
      <c r="N401" s="1"/>
    </row>
    <row r="402" spans="14:14" ht="15" thickBot="1" x14ac:dyDescent="0.35">
      <c r="N402" s="1"/>
    </row>
    <row r="403" spans="14:14" ht="15" thickBot="1" x14ac:dyDescent="0.35">
      <c r="N403" s="1"/>
    </row>
    <row r="404" spans="14:14" ht="15" thickBot="1" x14ac:dyDescent="0.35">
      <c r="N404" s="1"/>
    </row>
    <row r="405" spans="14:14" ht="15" thickBot="1" x14ac:dyDescent="0.35">
      <c r="N405" s="1"/>
    </row>
    <row r="406" spans="14:14" ht="15" thickBot="1" x14ac:dyDescent="0.35">
      <c r="N406" s="1"/>
    </row>
    <row r="407" spans="14:14" ht="15" thickBot="1" x14ac:dyDescent="0.35">
      <c r="N407" s="1"/>
    </row>
    <row r="408" spans="14:14" ht="15" thickBot="1" x14ac:dyDescent="0.35">
      <c r="N408" s="1"/>
    </row>
    <row r="409" spans="14:14" ht="15" thickBot="1" x14ac:dyDescent="0.35">
      <c r="N409" s="1"/>
    </row>
    <row r="410" spans="14:14" ht="15" thickBot="1" x14ac:dyDescent="0.35">
      <c r="N410" s="1"/>
    </row>
    <row r="411" spans="14:14" ht="15" thickBot="1" x14ac:dyDescent="0.35">
      <c r="N411" s="1"/>
    </row>
    <row r="412" spans="14:14" ht="15" thickBot="1" x14ac:dyDescent="0.35">
      <c r="N412" s="1"/>
    </row>
    <row r="413" spans="14:14" ht="15" thickBot="1" x14ac:dyDescent="0.35">
      <c r="N413" s="1"/>
    </row>
    <row r="414" spans="14:14" ht="15" thickBot="1" x14ac:dyDescent="0.35">
      <c r="N414" s="1"/>
    </row>
    <row r="415" spans="14:14" ht="15" thickBot="1" x14ac:dyDescent="0.35">
      <c r="N415" s="1"/>
    </row>
    <row r="416" spans="14:14" ht="15" thickBot="1" x14ac:dyDescent="0.35">
      <c r="N416" s="1"/>
    </row>
    <row r="417" spans="14:14" ht="15" thickBot="1" x14ac:dyDescent="0.35">
      <c r="N417" s="1"/>
    </row>
    <row r="418" spans="14:14" ht="15" thickBot="1" x14ac:dyDescent="0.35">
      <c r="N418" s="1"/>
    </row>
    <row r="419" spans="14:14" ht="15" thickBot="1" x14ac:dyDescent="0.35">
      <c r="N419" s="1"/>
    </row>
    <row r="420" spans="14:14" ht="15" thickBot="1" x14ac:dyDescent="0.35">
      <c r="N420" s="1"/>
    </row>
    <row r="421" spans="14:14" ht="15" thickBot="1" x14ac:dyDescent="0.35">
      <c r="N421" s="1"/>
    </row>
    <row r="422" spans="14:14" ht="15" thickBot="1" x14ac:dyDescent="0.35">
      <c r="N422" s="1"/>
    </row>
    <row r="423" spans="14:14" ht="15" thickBot="1" x14ac:dyDescent="0.35">
      <c r="N423" s="1"/>
    </row>
    <row r="424" spans="14:14" ht="15" thickBot="1" x14ac:dyDescent="0.35">
      <c r="N424" s="1"/>
    </row>
    <row r="425" spans="14:14" ht="15" thickBot="1" x14ac:dyDescent="0.35">
      <c r="N425" s="1"/>
    </row>
    <row r="426" spans="14:14" ht="15" thickBot="1" x14ac:dyDescent="0.35">
      <c r="N426" s="1"/>
    </row>
    <row r="427" spans="14:14" ht="15" thickBot="1" x14ac:dyDescent="0.35">
      <c r="N427" s="1"/>
    </row>
    <row r="428" spans="14:14" ht="15" thickBot="1" x14ac:dyDescent="0.35">
      <c r="N428" s="1"/>
    </row>
    <row r="429" spans="14:14" ht="15" thickBot="1" x14ac:dyDescent="0.35">
      <c r="N429" s="1"/>
    </row>
    <row r="430" spans="14:14" ht="15" thickBot="1" x14ac:dyDescent="0.35">
      <c r="N430" s="1"/>
    </row>
    <row r="431" spans="14:14" ht="15" thickBot="1" x14ac:dyDescent="0.35">
      <c r="N431" s="1"/>
    </row>
    <row r="432" spans="14:14" ht="15" thickBot="1" x14ac:dyDescent="0.35">
      <c r="N432" s="1"/>
    </row>
    <row r="433" spans="14:14" ht="15" thickBot="1" x14ac:dyDescent="0.35">
      <c r="N433" s="1"/>
    </row>
    <row r="434" spans="14:14" ht="15" thickBot="1" x14ac:dyDescent="0.35">
      <c r="N434" s="1"/>
    </row>
    <row r="435" spans="14:14" ht="15" thickBot="1" x14ac:dyDescent="0.35">
      <c r="N435" s="1"/>
    </row>
    <row r="436" spans="14:14" ht="15" thickBot="1" x14ac:dyDescent="0.35">
      <c r="N436" s="1"/>
    </row>
    <row r="437" spans="14:14" ht="15" thickBot="1" x14ac:dyDescent="0.35">
      <c r="N437" s="1"/>
    </row>
    <row r="438" spans="14:14" ht="15" thickBot="1" x14ac:dyDescent="0.35">
      <c r="N438" s="1"/>
    </row>
    <row r="439" spans="14:14" ht="15" thickBot="1" x14ac:dyDescent="0.35">
      <c r="N439" s="1"/>
    </row>
    <row r="440" spans="14:14" ht="15" thickBot="1" x14ac:dyDescent="0.35">
      <c r="N440" s="1"/>
    </row>
    <row r="441" spans="14:14" ht="15" thickBot="1" x14ac:dyDescent="0.35">
      <c r="N441" s="1"/>
    </row>
    <row r="442" spans="14:14" ht="15" thickBot="1" x14ac:dyDescent="0.35">
      <c r="N442" s="1"/>
    </row>
    <row r="443" spans="14:14" ht="15" thickBot="1" x14ac:dyDescent="0.35">
      <c r="N443" s="1"/>
    </row>
    <row r="444" spans="14:14" ht="15" thickBot="1" x14ac:dyDescent="0.35">
      <c r="N444" s="1"/>
    </row>
    <row r="445" spans="14:14" ht="15" thickBot="1" x14ac:dyDescent="0.35">
      <c r="N445" s="1"/>
    </row>
    <row r="446" spans="14:14" ht="15" thickBot="1" x14ac:dyDescent="0.35">
      <c r="N446" s="1"/>
    </row>
    <row r="447" spans="14:14" ht="15" thickBot="1" x14ac:dyDescent="0.35">
      <c r="N447" s="1"/>
    </row>
    <row r="448" spans="14:14" ht="15" thickBot="1" x14ac:dyDescent="0.35">
      <c r="N448" s="1"/>
    </row>
    <row r="449" spans="14:14" ht="15" thickBot="1" x14ac:dyDescent="0.35">
      <c r="N449" s="1"/>
    </row>
    <row r="450" spans="14:14" ht="15" thickBot="1" x14ac:dyDescent="0.35">
      <c r="N450" s="1"/>
    </row>
    <row r="451" spans="14:14" ht="15" thickBot="1" x14ac:dyDescent="0.35">
      <c r="N451" s="1"/>
    </row>
    <row r="452" spans="14:14" ht="15" thickBot="1" x14ac:dyDescent="0.35">
      <c r="N452" s="1"/>
    </row>
    <row r="453" spans="14:14" ht="15" thickBot="1" x14ac:dyDescent="0.35">
      <c r="N453" s="1"/>
    </row>
    <row r="454" spans="14:14" ht="15" thickBot="1" x14ac:dyDescent="0.35">
      <c r="N454" s="1"/>
    </row>
    <row r="455" spans="14:14" ht="15" thickBot="1" x14ac:dyDescent="0.35">
      <c r="N455" s="1"/>
    </row>
    <row r="456" spans="14:14" ht="15" thickBot="1" x14ac:dyDescent="0.35">
      <c r="N456" s="1"/>
    </row>
    <row r="457" spans="14:14" ht="15" thickBot="1" x14ac:dyDescent="0.35">
      <c r="N457" s="1"/>
    </row>
    <row r="458" spans="14:14" ht="15" thickBot="1" x14ac:dyDescent="0.35">
      <c r="N458" s="1"/>
    </row>
    <row r="459" spans="14:14" ht="15" thickBot="1" x14ac:dyDescent="0.35">
      <c r="N459" s="1"/>
    </row>
    <row r="460" spans="14:14" ht="15" thickBot="1" x14ac:dyDescent="0.35">
      <c r="N460" s="1"/>
    </row>
    <row r="461" spans="14:14" ht="15" thickBot="1" x14ac:dyDescent="0.35">
      <c r="N461" s="1"/>
    </row>
    <row r="462" spans="14:14" ht="15" thickBot="1" x14ac:dyDescent="0.35">
      <c r="N462" s="1"/>
    </row>
    <row r="463" spans="14:14" ht="15" thickBot="1" x14ac:dyDescent="0.35">
      <c r="N463" s="1"/>
    </row>
    <row r="464" spans="14:14" ht="15" thickBot="1" x14ac:dyDescent="0.35">
      <c r="N464" s="1"/>
    </row>
    <row r="465" spans="14:14" ht="15" thickBot="1" x14ac:dyDescent="0.35">
      <c r="N465" s="1"/>
    </row>
    <row r="466" spans="14:14" ht="15" thickBot="1" x14ac:dyDescent="0.35">
      <c r="N466" s="1"/>
    </row>
    <row r="467" spans="14:14" ht="15" thickBot="1" x14ac:dyDescent="0.35">
      <c r="N467" s="1"/>
    </row>
    <row r="468" spans="14:14" ht="15" thickBot="1" x14ac:dyDescent="0.35">
      <c r="N468" s="1"/>
    </row>
    <row r="469" spans="14:14" ht="15" thickBot="1" x14ac:dyDescent="0.35">
      <c r="N469" s="1"/>
    </row>
    <row r="470" spans="14:14" ht="15" thickBot="1" x14ac:dyDescent="0.35">
      <c r="N470" s="1"/>
    </row>
    <row r="471" spans="14:14" ht="15" thickBot="1" x14ac:dyDescent="0.35">
      <c r="N471" s="1"/>
    </row>
    <row r="472" spans="14:14" ht="15" thickBot="1" x14ac:dyDescent="0.35">
      <c r="N472" s="1"/>
    </row>
    <row r="473" spans="14:14" ht="15" thickBot="1" x14ac:dyDescent="0.35">
      <c r="N473" s="1"/>
    </row>
    <row r="474" spans="14:14" ht="15" thickBot="1" x14ac:dyDescent="0.35">
      <c r="N474" s="1"/>
    </row>
    <row r="475" spans="14:14" ht="15" thickBot="1" x14ac:dyDescent="0.35">
      <c r="N475" s="1"/>
    </row>
    <row r="476" spans="14:14" ht="15" thickBot="1" x14ac:dyDescent="0.35">
      <c r="N476" s="1"/>
    </row>
    <row r="477" spans="14:14" ht="15" thickBot="1" x14ac:dyDescent="0.35">
      <c r="N477" s="1"/>
    </row>
    <row r="478" spans="14:14" ht="15" thickBot="1" x14ac:dyDescent="0.35">
      <c r="N478" s="1"/>
    </row>
    <row r="479" spans="14:14" ht="15" thickBot="1" x14ac:dyDescent="0.35">
      <c r="N479" s="1"/>
    </row>
    <row r="480" spans="14:14" ht="15" thickBot="1" x14ac:dyDescent="0.35">
      <c r="N480" s="1"/>
    </row>
    <row r="481" spans="14:14" ht="15" thickBot="1" x14ac:dyDescent="0.35">
      <c r="N481" s="1"/>
    </row>
    <row r="482" spans="14:14" ht="15" thickBot="1" x14ac:dyDescent="0.35">
      <c r="N482" s="1"/>
    </row>
    <row r="483" spans="14:14" ht="15" thickBot="1" x14ac:dyDescent="0.35">
      <c r="N483" s="1"/>
    </row>
    <row r="484" spans="14:14" ht="15" thickBot="1" x14ac:dyDescent="0.35">
      <c r="N484" s="1"/>
    </row>
    <row r="485" spans="14:14" ht="15" thickBot="1" x14ac:dyDescent="0.35">
      <c r="N485" s="1"/>
    </row>
    <row r="486" spans="14:14" ht="15" thickBot="1" x14ac:dyDescent="0.35">
      <c r="N486" s="1"/>
    </row>
    <row r="487" spans="14:14" ht="15" thickBot="1" x14ac:dyDescent="0.35">
      <c r="N487" s="1"/>
    </row>
    <row r="488" spans="14:14" ht="15" thickBot="1" x14ac:dyDescent="0.35">
      <c r="N488" s="1"/>
    </row>
    <row r="489" spans="14:14" ht="15" thickBot="1" x14ac:dyDescent="0.35">
      <c r="N489" s="1"/>
    </row>
    <row r="490" spans="14:14" ht="15" thickBot="1" x14ac:dyDescent="0.35">
      <c r="N490" s="1"/>
    </row>
    <row r="491" spans="14:14" ht="15" thickBot="1" x14ac:dyDescent="0.35">
      <c r="N491" s="1"/>
    </row>
    <row r="492" spans="14:14" ht="15" thickBot="1" x14ac:dyDescent="0.35">
      <c r="N492" s="1"/>
    </row>
    <row r="493" spans="14:14" ht="15" thickBot="1" x14ac:dyDescent="0.35">
      <c r="N493" s="1"/>
    </row>
    <row r="494" spans="14:14" ht="15" thickBot="1" x14ac:dyDescent="0.35">
      <c r="N494" s="1"/>
    </row>
    <row r="495" spans="14:14" ht="15" thickBot="1" x14ac:dyDescent="0.35">
      <c r="N495" s="1"/>
    </row>
    <row r="496" spans="14:14" ht="15" thickBot="1" x14ac:dyDescent="0.35">
      <c r="N496" s="1"/>
    </row>
    <row r="497" spans="14:14" ht="15" thickBot="1" x14ac:dyDescent="0.35">
      <c r="N497" s="1"/>
    </row>
    <row r="498" spans="14:14" ht="15" thickBot="1" x14ac:dyDescent="0.35">
      <c r="N498" s="1"/>
    </row>
    <row r="499" spans="14:14" ht="15" thickBot="1" x14ac:dyDescent="0.35">
      <c r="N499" s="1"/>
    </row>
    <row r="500" spans="14:14" ht="15" thickBot="1" x14ac:dyDescent="0.35">
      <c r="N500" s="1"/>
    </row>
    <row r="501" spans="14:14" ht="15" thickBot="1" x14ac:dyDescent="0.35">
      <c r="N501" s="1"/>
    </row>
    <row r="502" spans="14:14" ht="15" thickBot="1" x14ac:dyDescent="0.35">
      <c r="N502" s="1"/>
    </row>
    <row r="503" spans="14:14" ht="15" thickBot="1" x14ac:dyDescent="0.35">
      <c r="N503" s="1"/>
    </row>
    <row r="504" spans="14:14" ht="15" thickBot="1" x14ac:dyDescent="0.35">
      <c r="N504" s="1"/>
    </row>
    <row r="505" spans="14:14" ht="15" thickBot="1" x14ac:dyDescent="0.35">
      <c r="N505" s="1"/>
    </row>
    <row r="506" spans="14:14" ht="15" thickBot="1" x14ac:dyDescent="0.35">
      <c r="N506" s="1"/>
    </row>
    <row r="507" spans="14:14" ht="15" thickBot="1" x14ac:dyDescent="0.35">
      <c r="N507" s="1"/>
    </row>
    <row r="508" spans="14:14" ht="15" thickBot="1" x14ac:dyDescent="0.35">
      <c r="N508" s="1"/>
    </row>
    <row r="509" spans="14:14" ht="15" thickBot="1" x14ac:dyDescent="0.35">
      <c r="N509" s="1"/>
    </row>
    <row r="510" spans="14:14" ht="15" thickBot="1" x14ac:dyDescent="0.35">
      <c r="N510" s="1"/>
    </row>
    <row r="511" spans="14:14" ht="15" thickBot="1" x14ac:dyDescent="0.35">
      <c r="N511" s="1"/>
    </row>
    <row r="512" spans="14:14" ht="15" thickBot="1" x14ac:dyDescent="0.35">
      <c r="N512" s="1"/>
    </row>
    <row r="513" spans="14:14" ht="15" thickBot="1" x14ac:dyDescent="0.35">
      <c r="N513" s="1"/>
    </row>
    <row r="514" spans="14:14" ht="15" thickBot="1" x14ac:dyDescent="0.35">
      <c r="N514" s="1"/>
    </row>
    <row r="515" spans="14:14" ht="15" thickBot="1" x14ac:dyDescent="0.35">
      <c r="N515" s="1"/>
    </row>
    <row r="516" spans="14:14" ht="15" thickBot="1" x14ac:dyDescent="0.35">
      <c r="N516" s="1"/>
    </row>
    <row r="517" spans="14:14" ht="15" thickBot="1" x14ac:dyDescent="0.35">
      <c r="N517" s="1"/>
    </row>
    <row r="518" spans="14:14" ht="15" thickBot="1" x14ac:dyDescent="0.35">
      <c r="N518" s="1"/>
    </row>
    <row r="519" spans="14:14" ht="15" thickBot="1" x14ac:dyDescent="0.35">
      <c r="N519" s="1"/>
    </row>
    <row r="520" spans="14:14" ht="15" thickBot="1" x14ac:dyDescent="0.35">
      <c r="N520" s="1"/>
    </row>
    <row r="521" spans="14:14" ht="15" thickBot="1" x14ac:dyDescent="0.35">
      <c r="N521" s="1"/>
    </row>
    <row r="522" spans="14:14" ht="15" thickBot="1" x14ac:dyDescent="0.35">
      <c r="N522" s="1"/>
    </row>
    <row r="523" spans="14:14" ht="15" thickBot="1" x14ac:dyDescent="0.35">
      <c r="N523" s="1"/>
    </row>
    <row r="524" spans="14:14" ht="15" thickBot="1" x14ac:dyDescent="0.35">
      <c r="N524" s="1"/>
    </row>
    <row r="525" spans="14:14" ht="15" thickBot="1" x14ac:dyDescent="0.35">
      <c r="N525" s="1"/>
    </row>
    <row r="526" spans="14:14" ht="15" thickBot="1" x14ac:dyDescent="0.35">
      <c r="N526" s="1"/>
    </row>
    <row r="527" spans="14:14" ht="15" thickBot="1" x14ac:dyDescent="0.35">
      <c r="N527" s="1"/>
    </row>
    <row r="528" spans="14:14" ht="15" thickBot="1" x14ac:dyDescent="0.35">
      <c r="N528" s="1"/>
    </row>
    <row r="529" spans="14:14" ht="15" thickBot="1" x14ac:dyDescent="0.35">
      <c r="N529" s="1"/>
    </row>
    <row r="530" spans="14:14" ht="15" thickBot="1" x14ac:dyDescent="0.35">
      <c r="N530" s="1"/>
    </row>
    <row r="531" spans="14:14" ht="15" thickBot="1" x14ac:dyDescent="0.35">
      <c r="N531" s="1"/>
    </row>
    <row r="532" spans="14:14" ht="15" thickBot="1" x14ac:dyDescent="0.35">
      <c r="N532" s="1"/>
    </row>
    <row r="533" spans="14:14" ht="15" thickBot="1" x14ac:dyDescent="0.35">
      <c r="N533" s="1"/>
    </row>
    <row r="534" spans="14:14" ht="15" thickBot="1" x14ac:dyDescent="0.35">
      <c r="N534" s="1"/>
    </row>
    <row r="535" spans="14:14" ht="15" thickBot="1" x14ac:dyDescent="0.35">
      <c r="N535" s="1"/>
    </row>
    <row r="536" spans="14:14" ht="15" thickBot="1" x14ac:dyDescent="0.35">
      <c r="N536" s="1"/>
    </row>
    <row r="537" spans="14:14" ht="15" thickBot="1" x14ac:dyDescent="0.35">
      <c r="N537" s="1"/>
    </row>
    <row r="538" spans="14:14" ht="15" thickBot="1" x14ac:dyDescent="0.35">
      <c r="N538" s="1"/>
    </row>
    <row r="539" spans="14:14" ht="15" thickBot="1" x14ac:dyDescent="0.35">
      <c r="N539" s="1"/>
    </row>
    <row r="540" spans="14:14" ht="15" thickBot="1" x14ac:dyDescent="0.35">
      <c r="N540" s="1"/>
    </row>
    <row r="541" spans="14:14" ht="15" thickBot="1" x14ac:dyDescent="0.35">
      <c r="N541" s="1"/>
    </row>
    <row r="542" spans="14:14" ht="15" thickBot="1" x14ac:dyDescent="0.35">
      <c r="N542" s="1"/>
    </row>
    <row r="543" spans="14:14" ht="15" thickBot="1" x14ac:dyDescent="0.35">
      <c r="N543" s="1"/>
    </row>
    <row r="544" spans="14:14" ht="15" thickBot="1" x14ac:dyDescent="0.35">
      <c r="N544" s="1"/>
    </row>
    <row r="545" spans="14:14" ht="15" thickBot="1" x14ac:dyDescent="0.35">
      <c r="N545" s="1"/>
    </row>
    <row r="546" spans="14:14" ht="15" thickBot="1" x14ac:dyDescent="0.35">
      <c r="N546" s="1"/>
    </row>
    <row r="547" spans="14:14" ht="15" thickBot="1" x14ac:dyDescent="0.35">
      <c r="N547" s="1"/>
    </row>
    <row r="548" spans="14:14" ht="15" thickBot="1" x14ac:dyDescent="0.35">
      <c r="N548" s="1"/>
    </row>
    <row r="549" spans="14:14" ht="15" thickBot="1" x14ac:dyDescent="0.35">
      <c r="N549" s="1"/>
    </row>
    <row r="550" spans="14:14" ht="15" thickBot="1" x14ac:dyDescent="0.35">
      <c r="N550" s="1"/>
    </row>
    <row r="551" spans="14:14" ht="15" thickBot="1" x14ac:dyDescent="0.35">
      <c r="N551" s="1"/>
    </row>
    <row r="552" spans="14:14" ht="15" thickBot="1" x14ac:dyDescent="0.35">
      <c r="N552" s="1"/>
    </row>
    <row r="553" spans="14:14" ht="15" thickBot="1" x14ac:dyDescent="0.35">
      <c r="N553" s="1"/>
    </row>
    <row r="554" spans="14:14" ht="15" thickBot="1" x14ac:dyDescent="0.35">
      <c r="N554" s="1"/>
    </row>
    <row r="555" spans="14:14" ht="15" thickBot="1" x14ac:dyDescent="0.35">
      <c r="N555" s="1"/>
    </row>
    <row r="556" spans="14:14" ht="15" thickBot="1" x14ac:dyDescent="0.35">
      <c r="N556" s="1"/>
    </row>
    <row r="557" spans="14:14" ht="15" thickBot="1" x14ac:dyDescent="0.35">
      <c r="N557" s="1"/>
    </row>
    <row r="558" spans="14:14" ht="15" thickBot="1" x14ac:dyDescent="0.35">
      <c r="N558" s="1"/>
    </row>
    <row r="559" spans="14:14" ht="15" thickBot="1" x14ac:dyDescent="0.35">
      <c r="N559" s="1"/>
    </row>
    <row r="560" spans="14:14" ht="15" thickBot="1" x14ac:dyDescent="0.35">
      <c r="N560" s="1"/>
    </row>
    <row r="561" spans="14:14" ht="15" thickBot="1" x14ac:dyDescent="0.35">
      <c r="N561" s="1"/>
    </row>
    <row r="562" spans="14:14" ht="15" thickBot="1" x14ac:dyDescent="0.35">
      <c r="N562" s="1"/>
    </row>
    <row r="563" spans="14:14" ht="15" thickBot="1" x14ac:dyDescent="0.35">
      <c r="N563" s="1"/>
    </row>
    <row r="564" spans="14:14" ht="15" thickBot="1" x14ac:dyDescent="0.35">
      <c r="N564" s="1"/>
    </row>
    <row r="565" spans="14:14" ht="15" thickBot="1" x14ac:dyDescent="0.35">
      <c r="N565" s="1"/>
    </row>
    <row r="566" spans="14:14" ht="15" thickBot="1" x14ac:dyDescent="0.35">
      <c r="N566" s="1"/>
    </row>
    <row r="567" spans="14:14" ht="15" thickBot="1" x14ac:dyDescent="0.35">
      <c r="N567" s="1"/>
    </row>
    <row r="568" spans="14:14" ht="15" thickBot="1" x14ac:dyDescent="0.35">
      <c r="N568" s="1"/>
    </row>
    <row r="569" spans="14:14" ht="15" thickBot="1" x14ac:dyDescent="0.35">
      <c r="N569" s="1"/>
    </row>
    <row r="570" spans="14:14" ht="15" thickBot="1" x14ac:dyDescent="0.35">
      <c r="N570" s="1"/>
    </row>
    <row r="571" spans="14:14" ht="15" thickBot="1" x14ac:dyDescent="0.35">
      <c r="N571" s="1"/>
    </row>
    <row r="572" spans="14:14" ht="15" thickBot="1" x14ac:dyDescent="0.35">
      <c r="N572" s="1"/>
    </row>
    <row r="573" spans="14:14" ht="15" thickBot="1" x14ac:dyDescent="0.35">
      <c r="N573" s="1"/>
    </row>
    <row r="574" spans="14:14" ht="15" thickBot="1" x14ac:dyDescent="0.35">
      <c r="N574" s="1"/>
    </row>
    <row r="575" spans="14:14" ht="15" thickBot="1" x14ac:dyDescent="0.35">
      <c r="N575" s="1"/>
    </row>
    <row r="576" spans="14:14" ht="15" thickBot="1" x14ac:dyDescent="0.35">
      <c r="N576" s="1"/>
    </row>
    <row r="577" spans="14:14" ht="15" thickBot="1" x14ac:dyDescent="0.35">
      <c r="N577" s="1"/>
    </row>
    <row r="578" spans="14:14" ht="15" thickBot="1" x14ac:dyDescent="0.35">
      <c r="N578" s="1"/>
    </row>
    <row r="579" spans="14:14" ht="15" thickBot="1" x14ac:dyDescent="0.35">
      <c r="N579" s="1"/>
    </row>
    <row r="580" spans="14:14" ht="15" thickBot="1" x14ac:dyDescent="0.35">
      <c r="N580" s="1"/>
    </row>
    <row r="581" spans="14:14" ht="15" thickBot="1" x14ac:dyDescent="0.35">
      <c r="N581" s="1"/>
    </row>
    <row r="582" spans="14:14" ht="15" thickBot="1" x14ac:dyDescent="0.35">
      <c r="N582" s="1"/>
    </row>
    <row r="583" spans="14:14" ht="15" thickBot="1" x14ac:dyDescent="0.35">
      <c r="N583" s="1"/>
    </row>
    <row r="584" spans="14:14" ht="15" thickBot="1" x14ac:dyDescent="0.35">
      <c r="N584" s="1"/>
    </row>
    <row r="585" spans="14:14" ht="15" thickBot="1" x14ac:dyDescent="0.35">
      <c r="N585" s="1"/>
    </row>
    <row r="586" spans="14:14" ht="15" thickBot="1" x14ac:dyDescent="0.35">
      <c r="N586" s="1"/>
    </row>
    <row r="587" spans="14:14" ht="15" thickBot="1" x14ac:dyDescent="0.35">
      <c r="N587" s="1"/>
    </row>
    <row r="588" spans="14:14" ht="15" thickBot="1" x14ac:dyDescent="0.35">
      <c r="N588" s="1"/>
    </row>
    <row r="589" spans="14:14" ht="15" thickBot="1" x14ac:dyDescent="0.35">
      <c r="N589" s="1"/>
    </row>
    <row r="590" spans="14:14" ht="15" thickBot="1" x14ac:dyDescent="0.35">
      <c r="N590" s="1"/>
    </row>
    <row r="591" spans="14:14" ht="15" thickBot="1" x14ac:dyDescent="0.35">
      <c r="N591" s="1"/>
    </row>
    <row r="592" spans="14:14" ht="15" thickBot="1" x14ac:dyDescent="0.35">
      <c r="N592" s="1"/>
    </row>
    <row r="593" spans="14:14" ht="15" thickBot="1" x14ac:dyDescent="0.35">
      <c r="N593" s="1"/>
    </row>
    <row r="594" spans="14:14" ht="15" thickBot="1" x14ac:dyDescent="0.35">
      <c r="N594" s="1"/>
    </row>
    <row r="595" spans="14:14" ht="15" thickBot="1" x14ac:dyDescent="0.35">
      <c r="N595" s="1"/>
    </row>
    <row r="596" spans="14:14" ht="15" thickBot="1" x14ac:dyDescent="0.35">
      <c r="N596" s="1"/>
    </row>
    <row r="597" spans="14:14" ht="15" thickBot="1" x14ac:dyDescent="0.35">
      <c r="N597" s="1"/>
    </row>
    <row r="598" spans="14:14" ht="15" thickBot="1" x14ac:dyDescent="0.35">
      <c r="N598" s="1"/>
    </row>
    <row r="599" spans="14:14" ht="15" thickBot="1" x14ac:dyDescent="0.35">
      <c r="N599" s="1"/>
    </row>
    <row r="600" spans="14:14" ht="15" thickBot="1" x14ac:dyDescent="0.35">
      <c r="N600" s="1"/>
    </row>
    <row r="601" spans="14:14" ht="15" thickBot="1" x14ac:dyDescent="0.35">
      <c r="N601" s="1"/>
    </row>
    <row r="602" spans="14:14" ht="15" thickBot="1" x14ac:dyDescent="0.35">
      <c r="N602" s="1"/>
    </row>
    <row r="603" spans="14:14" ht="15" thickBot="1" x14ac:dyDescent="0.35">
      <c r="N603" s="1"/>
    </row>
    <row r="604" spans="14:14" ht="15" thickBot="1" x14ac:dyDescent="0.35">
      <c r="N604" s="1"/>
    </row>
    <row r="605" spans="14:14" ht="15" thickBot="1" x14ac:dyDescent="0.35">
      <c r="N605" s="1"/>
    </row>
    <row r="606" spans="14:14" ht="15" thickBot="1" x14ac:dyDescent="0.35">
      <c r="N606" s="1"/>
    </row>
    <row r="607" spans="14:14" ht="15" thickBot="1" x14ac:dyDescent="0.35">
      <c r="N607" s="1"/>
    </row>
    <row r="608" spans="14:14" ht="15" thickBot="1" x14ac:dyDescent="0.35">
      <c r="N608" s="1"/>
    </row>
    <row r="609" spans="14:14" ht="15" thickBot="1" x14ac:dyDescent="0.35">
      <c r="N609" s="1"/>
    </row>
    <row r="610" spans="14:14" ht="15" thickBot="1" x14ac:dyDescent="0.35">
      <c r="N610" s="1"/>
    </row>
    <row r="611" spans="14:14" ht="15" thickBot="1" x14ac:dyDescent="0.35">
      <c r="N611" s="1"/>
    </row>
    <row r="612" spans="14:14" ht="15" thickBot="1" x14ac:dyDescent="0.35">
      <c r="N612" s="1"/>
    </row>
    <row r="613" spans="14:14" ht="15" thickBot="1" x14ac:dyDescent="0.35">
      <c r="N613" s="1"/>
    </row>
    <row r="614" spans="14:14" ht="15" thickBot="1" x14ac:dyDescent="0.35">
      <c r="N614" s="1"/>
    </row>
    <row r="615" spans="14:14" ht="15" thickBot="1" x14ac:dyDescent="0.35">
      <c r="N615" s="1"/>
    </row>
    <row r="616" spans="14:14" ht="15" thickBot="1" x14ac:dyDescent="0.35">
      <c r="N616" s="1"/>
    </row>
    <row r="617" spans="14:14" ht="15" thickBot="1" x14ac:dyDescent="0.35">
      <c r="N617" s="1"/>
    </row>
    <row r="618" spans="14:14" ht="15" thickBot="1" x14ac:dyDescent="0.35">
      <c r="N618" s="1"/>
    </row>
    <row r="619" spans="14:14" ht="15" thickBot="1" x14ac:dyDescent="0.35">
      <c r="N619" s="1"/>
    </row>
    <row r="620" spans="14:14" ht="15" thickBot="1" x14ac:dyDescent="0.35">
      <c r="N620" s="1"/>
    </row>
    <row r="621" spans="14:14" ht="15" thickBot="1" x14ac:dyDescent="0.35">
      <c r="N621" s="1"/>
    </row>
    <row r="622" spans="14:14" ht="15" thickBot="1" x14ac:dyDescent="0.35">
      <c r="N622" s="1"/>
    </row>
    <row r="623" spans="14:14" ht="15" thickBot="1" x14ac:dyDescent="0.35">
      <c r="N623" s="1"/>
    </row>
    <row r="624" spans="14:14" ht="15" thickBot="1" x14ac:dyDescent="0.35">
      <c r="N624" s="1"/>
    </row>
    <row r="625" spans="14:14" ht="15" thickBot="1" x14ac:dyDescent="0.35">
      <c r="N625" s="1"/>
    </row>
    <row r="626" spans="14:14" ht="15" thickBot="1" x14ac:dyDescent="0.35">
      <c r="N626" s="1"/>
    </row>
    <row r="627" spans="14:14" ht="15" thickBot="1" x14ac:dyDescent="0.35">
      <c r="N627" s="1"/>
    </row>
    <row r="628" spans="14:14" ht="15" thickBot="1" x14ac:dyDescent="0.35">
      <c r="N628" s="1"/>
    </row>
    <row r="629" spans="14:14" ht="15" thickBot="1" x14ac:dyDescent="0.35">
      <c r="N629" s="1"/>
    </row>
    <row r="630" spans="14:14" ht="15" thickBot="1" x14ac:dyDescent="0.35">
      <c r="N630" s="1"/>
    </row>
    <row r="631" spans="14:14" ht="15" thickBot="1" x14ac:dyDescent="0.35">
      <c r="N631" s="1"/>
    </row>
    <row r="632" spans="14:14" ht="15" thickBot="1" x14ac:dyDescent="0.35">
      <c r="N632" s="1"/>
    </row>
    <row r="633" spans="14:14" ht="15" thickBot="1" x14ac:dyDescent="0.35">
      <c r="N633" s="1"/>
    </row>
    <row r="634" spans="14:14" ht="15" thickBot="1" x14ac:dyDescent="0.35">
      <c r="N634" s="1"/>
    </row>
    <row r="635" spans="14:14" ht="15" thickBot="1" x14ac:dyDescent="0.35">
      <c r="N635" s="1"/>
    </row>
    <row r="636" spans="14:14" ht="15" thickBot="1" x14ac:dyDescent="0.35">
      <c r="N636" s="1"/>
    </row>
    <row r="637" spans="14:14" ht="15" thickBot="1" x14ac:dyDescent="0.35">
      <c r="N637" s="1"/>
    </row>
    <row r="638" spans="14:14" ht="15" thickBot="1" x14ac:dyDescent="0.35">
      <c r="N638" s="1"/>
    </row>
    <row r="639" spans="14:14" ht="15" thickBot="1" x14ac:dyDescent="0.35">
      <c r="N639" s="1"/>
    </row>
    <row r="640" spans="14:14" ht="15" thickBot="1" x14ac:dyDescent="0.35">
      <c r="N640" s="1"/>
    </row>
    <row r="641" spans="14:14" ht="15" thickBot="1" x14ac:dyDescent="0.35">
      <c r="N641" s="1"/>
    </row>
    <row r="642" spans="14:14" ht="15" thickBot="1" x14ac:dyDescent="0.35">
      <c r="N642" s="1"/>
    </row>
    <row r="643" spans="14:14" ht="15" thickBot="1" x14ac:dyDescent="0.35">
      <c r="N643" s="1"/>
    </row>
    <row r="644" spans="14:14" ht="15" thickBot="1" x14ac:dyDescent="0.35">
      <c r="N644" s="1"/>
    </row>
    <row r="645" spans="14:14" ht="15" thickBot="1" x14ac:dyDescent="0.35">
      <c r="N645" s="1"/>
    </row>
    <row r="646" spans="14:14" ht="15" thickBot="1" x14ac:dyDescent="0.35">
      <c r="N646" s="1"/>
    </row>
    <row r="647" spans="14:14" ht="15" thickBot="1" x14ac:dyDescent="0.35">
      <c r="N647" s="1"/>
    </row>
    <row r="648" spans="14:14" ht="15" thickBot="1" x14ac:dyDescent="0.35">
      <c r="N648" s="1"/>
    </row>
    <row r="649" spans="14:14" ht="15" thickBot="1" x14ac:dyDescent="0.35">
      <c r="N649" s="1"/>
    </row>
    <row r="650" spans="14:14" ht="15" thickBot="1" x14ac:dyDescent="0.35">
      <c r="N650" s="1"/>
    </row>
    <row r="651" spans="14:14" ht="15" thickBot="1" x14ac:dyDescent="0.35">
      <c r="N651" s="1"/>
    </row>
    <row r="652" spans="14:14" ht="15" thickBot="1" x14ac:dyDescent="0.35">
      <c r="N652" s="1"/>
    </row>
    <row r="653" spans="14:14" ht="15" thickBot="1" x14ac:dyDescent="0.35">
      <c r="N653" s="1"/>
    </row>
    <row r="654" spans="14:14" ht="15" thickBot="1" x14ac:dyDescent="0.35">
      <c r="N654" s="1"/>
    </row>
    <row r="655" spans="14:14" ht="15" thickBot="1" x14ac:dyDescent="0.35">
      <c r="N655" s="1"/>
    </row>
    <row r="656" spans="14:14" ht="15" thickBot="1" x14ac:dyDescent="0.35">
      <c r="N656" s="1"/>
    </row>
    <row r="657" spans="14:14" ht="15" thickBot="1" x14ac:dyDescent="0.35">
      <c r="N657" s="1"/>
    </row>
    <row r="658" spans="14:14" ht="15" thickBot="1" x14ac:dyDescent="0.35">
      <c r="N658" s="1"/>
    </row>
    <row r="659" spans="14:14" ht="15" thickBot="1" x14ac:dyDescent="0.35">
      <c r="N659" s="1"/>
    </row>
    <row r="660" spans="14:14" ht="15" thickBot="1" x14ac:dyDescent="0.35">
      <c r="N660" s="1"/>
    </row>
    <row r="661" spans="14:14" ht="15" thickBot="1" x14ac:dyDescent="0.35">
      <c r="N661" s="1"/>
    </row>
    <row r="662" spans="14:14" ht="15" thickBot="1" x14ac:dyDescent="0.35">
      <c r="N662" s="1"/>
    </row>
    <row r="663" spans="14:14" ht="15" thickBot="1" x14ac:dyDescent="0.35">
      <c r="N663" s="1"/>
    </row>
    <row r="664" spans="14:14" ht="15" thickBot="1" x14ac:dyDescent="0.35">
      <c r="N664" s="1"/>
    </row>
    <row r="665" spans="14:14" ht="15" thickBot="1" x14ac:dyDescent="0.35">
      <c r="N665" s="1"/>
    </row>
    <row r="666" spans="14:14" ht="15" thickBot="1" x14ac:dyDescent="0.35">
      <c r="N666" s="1"/>
    </row>
    <row r="667" spans="14:14" ht="15" thickBot="1" x14ac:dyDescent="0.35">
      <c r="N667" s="1"/>
    </row>
    <row r="668" spans="14:14" ht="15" thickBot="1" x14ac:dyDescent="0.35">
      <c r="N668" s="1"/>
    </row>
    <row r="669" spans="14:14" ht="15" thickBot="1" x14ac:dyDescent="0.35">
      <c r="N669" s="1"/>
    </row>
    <row r="670" spans="14:14" ht="15" thickBot="1" x14ac:dyDescent="0.35">
      <c r="N670" s="1"/>
    </row>
    <row r="671" spans="14:14" ht="15" thickBot="1" x14ac:dyDescent="0.35">
      <c r="N671" s="1"/>
    </row>
    <row r="672" spans="14:14" ht="15" thickBot="1" x14ac:dyDescent="0.35">
      <c r="N672" s="1"/>
    </row>
    <row r="673" spans="14:14" ht="15" thickBot="1" x14ac:dyDescent="0.35">
      <c r="N673" s="1"/>
    </row>
    <row r="674" spans="14:14" ht="15" thickBot="1" x14ac:dyDescent="0.35">
      <c r="N674" s="1"/>
    </row>
    <row r="675" spans="14:14" ht="15" thickBot="1" x14ac:dyDescent="0.35">
      <c r="N675" s="1"/>
    </row>
    <row r="676" spans="14:14" ht="15" thickBot="1" x14ac:dyDescent="0.35">
      <c r="N676" s="1"/>
    </row>
    <row r="677" spans="14:14" ht="15" thickBot="1" x14ac:dyDescent="0.35">
      <c r="N677" s="1"/>
    </row>
    <row r="678" spans="14:14" ht="15" thickBot="1" x14ac:dyDescent="0.35">
      <c r="N678" s="1"/>
    </row>
    <row r="679" spans="14:14" ht="15" thickBot="1" x14ac:dyDescent="0.35">
      <c r="N679" s="1"/>
    </row>
    <row r="680" spans="14:14" ht="15" thickBot="1" x14ac:dyDescent="0.35">
      <c r="N680" s="1"/>
    </row>
    <row r="681" spans="14:14" ht="15" thickBot="1" x14ac:dyDescent="0.35">
      <c r="N681" s="1"/>
    </row>
    <row r="682" spans="14:14" ht="15" thickBot="1" x14ac:dyDescent="0.35">
      <c r="N682" s="1"/>
    </row>
    <row r="683" spans="14:14" ht="15" thickBot="1" x14ac:dyDescent="0.35">
      <c r="N683" s="1"/>
    </row>
    <row r="684" spans="14:14" ht="15" thickBot="1" x14ac:dyDescent="0.35">
      <c r="N684" s="1"/>
    </row>
    <row r="685" spans="14:14" ht="15" thickBot="1" x14ac:dyDescent="0.35">
      <c r="N685" s="1"/>
    </row>
    <row r="686" spans="14:14" ht="15" thickBot="1" x14ac:dyDescent="0.35">
      <c r="N686" s="1"/>
    </row>
    <row r="687" spans="14:14" ht="15" thickBot="1" x14ac:dyDescent="0.35">
      <c r="N687" s="1"/>
    </row>
    <row r="688" spans="14:14" ht="15" thickBot="1" x14ac:dyDescent="0.35">
      <c r="N688" s="1"/>
    </row>
    <row r="689" spans="14:14" ht="15" thickBot="1" x14ac:dyDescent="0.35">
      <c r="N689" s="1"/>
    </row>
    <row r="690" spans="14:14" ht="15" thickBot="1" x14ac:dyDescent="0.35">
      <c r="N690" s="1"/>
    </row>
    <row r="691" spans="14:14" ht="15" thickBot="1" x14ac:dyDescent="0.35">
      <c r="N691" s="1"/>
    </row>
    <row r="692" spans="14:14" ht="15" thickBot="1" x14ac:dyDescent="0.35">
      <c r="N692" s="1"/>
    </row>
    <row r="693" spans="14:14" ht="15" thickBot="1" x14ac:dyDescent="0.35">
      <c r="N693" s="1"/>
    </row>
    <row r="694" spans="14:14" ht="15" thickBot="1" x14ac:dyDescent="0.35">
      <c r="N694" s="1"/>
    </row>
    <row r="695" spans="14:14" ht="15" thickBot="1" x14ac:dyDescent="0.35">
      <c r="N695" s="1"/>
    </row>
    <row r="696" spans="14:14" ht="15" thickBot="1" x14ac:dyDescent="0.35">
      <c r="N696" s="1"/>
    </row>
    <row r="697" spans="14:14" ht="15" thickBot="1" x14ac:dyDescent="0.35">
      <c r="N697" s="1"/>
    </row>
    <row r="698" spans="14:14" ht="15" thickBot="1" x14ac:dyDescent="0.35">
      <c r="N698" s="1"/>
    </row>
    <row r="699" spans="14:14" ht="15" thickBot="1" x14ac:dyDescent="0.35">
      <c r="N699" s="1"/>
    </row>
    <row r="700" spans="14:14" ht="15" thickBot="1" x14ac:dyDescent="0.35">
      <c r="N700" s="1"/>
    </row>
    <row r="701" spans="14:14" ht="15" thickBot="1" x14ac:dyDescent="0.35">
      <c r="N701" s="1"/>
    </row>
    <row r="702" spans="14:14" ht="15" thickBot="1" x14ac:dyDescent="0.35">
      <c r="N702" s="1"/>
    </row>
    <row r="703" spans="14:14" ht="15" thickBot="1" x14ac:dyDescent="0.35">
      <c r="N703" s="1"/>
    </row>
    <row r="704" spans="14:14" ht="15" thickBot="1" x14ac:dyDescent="0.35">
      <c r="N704" s="1"/>
    </row>
    <row r="705" spans="14:14" ht="15" thickBot="1" x14ac:dyDescent="0.35">
      <c r="N705" s="1"/>
    </row>
    <row r="706" spans="14:14" ht="15" thickBot="1" x14ac:dyDescent="0.35">
      <c r="N706" s="1"/>
    </row>
    <row r="707" spans="14:14" ht="15" thickBot="1" x14ac:dyDescent="0.35">
      <c r="N707" s="1"/>
    </row>
    <row r="708" spans="14:14" ht="15" thickBot="1" x14ac:dyDescent="0.35">
      <c r="N708" s="1"/>
    </row>
    <row r="709" spans="14:14" ht="15" thickBot="1" x14ac:dyDescent="0.35">
      <c r="N709" s="1"/>
    </row>
    <row r="710" spans="14:14" ht="15" thickBot="1" x14ac:dyDescent="0.35">
      <c r="N710" s="1"/>
    </row>
    <row r="711" spans="14:14" ht="15" thickBot="1" x14ac:dyDescent="0.35">
      <c r="N711" s="1"/>
    </row>
    <row r="712" spans="14:14" ht="15" thickBot="1" x14ac:dyDescent="0.35">
      <c r="N712" s="1"/>
    </row>
    <row r="713" spans="14:14" ht="15" thickBot="1" x14ac:dyDescent="0.35">
      <c r="N713" s="1"/>
    </row>
    <row r="714" spans="14:14" ht="15" thickBot="1" x14ac:dyDescent="0.35">
      <c r="N714" s="1"/>
    </row>
    <row r="715" spans="14:14" ht="15" thickBot="1" x14ac:dyDescent="0.35">
      <c r="N715" s="1"/>
    </row>
    <row r="716" spans="14:14" ht="15" thickBot="1" x14ac:dyDescent="0.35">
      <c r="N716" s="1"/>
    </row>
    <row r="717" spans="14:14" ht="15" thickBot="1" x14ac:dyDescent="0.35">
      <c r="N717" s="1"/>
    </row>
    <row r="718" spans="14:14" ht="15" thickBot="1" x14ac:dyDescent="0.35">
      <c r="N718" s="1"/>
    </row>
    <row r="719" spans="14:14" ht="15" thickBot="1" x14ac:dyDescent="0.35">
      <c r="N719" s="1"/>
    </row>
    <row r="720" spans="14:14" ht="15" thickBot="1" x14ac:dyDescent="0.35">
      <c r="N720" s="1"/>
    </row>
    <row r="721" spans="14:14" ht="15" thickBot="1" x14ac:dyDescent="0.35">
      <c r="N721" s="1"/>
    </row>
    <row r="722" spans="14:14" ht="15" thickBot="1" x14ac:dyDescent="0.35">
      <c r="N722" s="1"/>
    </row>
    <row r="723" spans="14:14" ht="15" thickBot="1" x14ac:dyDescent="0.35">
      <c r="N723" s="1"/>
    </row>
    <row r="724" spans="14:14" ht="15" thickBot="1" x14ac:dyDescent="0.35">
      <c r="N724" s="1"/>
    </row>
    <row r="725" spans="14:14" ht="15" thickBot="1" x14ac:dyDescent="0.35">
      <c r="N725" s="1"/>
    </row>
    <row r="726" spans="14:14" ht="15" thickBot="1" x14ac:dyDescent="0.35">
      <c r="N726" s="1"/>
    </row>
    <row r="727" spans="14:14" ht="15" thickBot="1" x14ac:dyDescent="0.35">
      <c r="N727" s="1"/>
    </row>
    <row r="728" spans="14:14" ht="15" thickBot="1" x14ac:dyDescent="0.35">
      <c r="N728" s="1"/>
    </row>
    <row r="729" spans="14:14" ht="15" thickBot="1" x14ac:dyDescent="0.35">
      <c r="N729" s="1"/>
    </row>
    <row r="730" spans="14:14" ht="15" thickBot="1" x14ac:dyDescent="0.35">
      <c r="N730" s="1"/>
    </row>
    <row r="731" spans="14:14" ht="15" thickBot="1" x14ac:dyDescent="0.35">
      <c r="N731" s="1"/>
    </row>
    <row r="732" spans="14:14" ht="15" thickBot="1" x14ac:dyDescent="0.35">
      <c r="N732" s="1"/>
    </row>
    <row r="733" spans="14:14" ht="15" thickBot="1" x14ac:dyDescent="0.35">
      <c r="N733" s="1"/>
    </row>
    <row r="734" spans="14:14" ht="15" thickBot="1" x14ac:dyDescent="0.35">
      <c r="N734" s="1"/>
    </row>
    <row r="735" spans="14:14" ht="15" thickBot="1" x14ac:dyDescent="0.35">
      <c r="N735" s="1"/>
    </row>
    <row r="736" spans="14:14" ht="15" thickBot="1" x14ac:dyDescent="0.35">
      <c r="N736" s="1"/>
    </row>
    <row r="737" spans="14:14" ht="15" thickBot="1" x14ac:dyDescent="0.35">
      <c r="N737" s="1"/>
    </row>
    <row r="738" spans="14:14" ht="15" thickBot="1" x14ac:dyDescent="0.35">
      <c r="N738" s="1"/>
    </row>
    <row r="739" spans="14:14" ht="15" thickBot="1" x14ac:dyDescent="0.35">
      <c r="N739" s="1"/>
    </row>
    <row r="740" spans="14:14" ht="15" thickBot="1" x14ac:dyDescent="0.35">
      <c r="N740" s="1"/>
    </row>
    <row r="741" spans="14:14" ht="15" thickBot="1" x14ac:dyDescent="0.35">
      <c r="N741" s="1"/>
    </row>
    <row r="742" spans="14:14" ht="15" thickBot="1" x14ac:dyDescent="0.35">
      <c r="N742" s="1"/>
    </row>
    <row r="743" spans="14:14" ht="15" thickBot="1" x14ac:dyDescent="0.35">
      <c r="N743" s="1"/>
    </row>
    <row r="744" spans="14:14" ht="15" thickBot="1" x14ac:dyDescent="0.35">
      <c r="N744" s="1"/>
    </row>
    <row r="745" spans="14:14" ht="15" thickBot="1" x14ac:dyDescent="0.35">
      <c r="N745" s="1"/>
    </row>
    <row r="746" spans="14:14" ht="15" thickBot="1" x14ac:dyDescent="0.35">
      <c r="N746" s="1"/>
    </row>
    <row r="747" spans="14:14" ht="15" thickBot="1" x14ac:dyDescent="0.35">
      <c r="N747" s="1"/>
    </row>
    <row r="748" spans="14:14" ht="15" thickBot="1" x14ac:dyDescent="0.35">
      <c r="N748" s="1"/>
    </row>
    <row r="749" spans="14:14" ht="15" thickBot="1" x14ac:dyDescent="0.35">
      <c r="N749" s="1"/>
    </row>
    <row r="750" spans="14:14" ht="15" thickBot="1" x14ac:dyDescent="0.35">
      <c r="N750" s="1"/>
    </row>
    <row r="751" spans="14:14" ht="15" thickBot="1" x14ac:dyDescent="0.35">
      <c r="N751" s="1"/>
    </row>
    <row r="752" spans="14:14" ht="15" thickBot="1" x14ac:dyDescent="0.35">
      <c r="N752" s="1"/>
    </row>
    <row r="753" spans="14:14" ht="15" thickBot="1" x14ac:dyDescent="0.35">
      <c r="N753" s="1"/>
    </row>
    <row r="754" spans="14:14" ht="15" thickBot="1" x14ac:dyDescent="0.35">
      <c r="N754" s="1"/>
    </row>
    <row r="755" spans="14:14" ht="15" thickBot="1" x14ac:dyDescent="0.35">
      <c r="N755" s="1"/>
    </row>
    <row r="756" spans="14:14" ht="15" thickBot="1" x14ac:dyDescent="0.35">
      <c r="N756" s="1"/>
    </row>
    <row r="757" spans="14:14" ht="15" thickBot="1" x14ac:dyDescent="0.35">
      <c r="N757" s="1"/>
    </row>
    <row r="758" spans="14:14" ht="15" thickBot="1" x14ac:dyDescent="0.35">
      <c r="N758" s="1"/>
    </row>
    <row r="759" spans="14:14" ht="15" thickBot="1" x14ac:dyDescent="0.35">
      <c r="N759" s="1"/>
    </row>
    <row r="760" spans="14:14" ht="15" thickBot="1" x14ac:dyDescent="0.35">
      <c r="N760" s="1"/>
    </row>
    <row r="761" spans="14:14" ht="15" thickBot="1" x14ac:dyDescent="0.35">
      <c r="N761" s="1"/>
    </row>
    <row r="762" spans="14:14" ht="15" thickBot="1" x14ac:dyDescent="0.35">
      <c r="N762" s="1"/>
    </row>
    <row r="763" spans="14:14" ht="15" thickBot="1" x14ac:dyDescent="0.35">
      <c r="N763" s="1"/>
    </row>
    <row r="764" spans="14:14" ht="15" thickBot="1" x14ac:dyDescent="0.35">
      <c r="N764" s="1"/>
    </row>
    <row r="765" spans="14:14" ht="15" thickBot="1" x14ac:dyDescent="0.35">
      <c r="N765" s="1"/>
    </row>
    <row r="766" spans="14:14" ht="15" thickBot="1" x14ac:dyDescent="0.35">
      <c r="N766" s="1"/>
    </row>
    <row r="767" spans="14:14" ht="15" thickBot="1" x14ac:dyDescent="0.35">
      <c r="N767" s="1"/>
    </row>
    <row r="768" spans="14:14" ht="15" thickBot="1" x14ac:dyDescent="0.35">
      <c r="N768" s="1"/>
    </row>
    <row r="769" spans="14:14" ht="15" thickBot="1" x14ac:dyDescent="0.35">
      <c r="N769" s="1"/>
    </row>
    <row r="770" spans="14:14" ht="15" thickBot="1" x14ac:dyDescent="0.35">
      <c r="N770" s="1"/>
    </row>
    <row r="771" spans="14:14" ht="15" thickBot="1" x14ac:dyDescent="0.35">
      <c r="N771" s="1"/>
    </row>
    <row r="772" spans="14:14" ht="15" thickBot="1" x14ac:dyDescent="0.35">
      <c r="N772" s="1"/>
    </row>
    <row r="773" spans="14:14" ht="15" thickBot="1" x14ac:dyDescent="0.35">
      <c r="N773" s="1"/>
    </row>
    <row r="774" spans="14:14" ht="15" thickBot="1" x14ac:dyDescent="0.35">
      <c r="N774" s="1"/>
    </row>
    <row r="775" spans="14:14" ht="15" thickBot="1" x14ac:dyDescent="0.35">
      <c r="N775" s="1"/>
    </row>
    <row r="776" spans="14:14" ht="15" thickBot="1" x14ac:dyDescent="0.35">
      <c r="N776" s="1"/>
    </row>
    <row r="777" spans="14:14" ht="15" thickBot="1" x14ac:dyDescent="0.35">
      <c r="N777" s="1"/>
    </row>
    <row r="778" spans="14:14" ht="15" thickBot="1" x14ac:dyDescent="0.35">
      <c r="N778" s="1"/>
    </row>
    <row r="779" spans="14:14" ht="15" thickBot="1" x14ac:dyDescent="0.35">
      <c r="N779" s="1"/>
    </row>
    <row r="780" spans="14:14" ht="15" thickBot="1" x14ac:dyDescent="0.35">
      <c r="N780" s="1"/>
    </row>
    <row r="781" spans="14:14" ht="15" thickBot="1" x14ac:dyDescent="0.35">
      <c r="N781" s="1"/>
    </row>
    <row r="782" spans="14:14" ht="15" thickBot="1" x14ac:dyDescent="0.35">
      <c r="N782" s="1"/>
    </row>
    <row r="783" spans="14:14" ht="15" thickBot="1" x14ac:dyDescent="0.35">
      <c r="N783" s="1"/>
    </row>
    <row r="784" spans="14:14" ht="15" thickBot="1" x14ac:dyDescent="0.35">
      <c r="N784" s="1"/>
    </row>
    <row r="785" spans="14:14" ht="15" thickBot="1" x14ac:dyDescent="0.35">
      <c r="N785" s="1"/>
    </row>
    <row r="786" spans="14:14" ht="15" thickBot="1" x14ac:dyDescent="0.35">
      <c r="N786" s="1"/>
    </row>
    <row r="787" spans="14:14" ht="15" thickBot="1" x14ac:dyDescent="0.35">
      <c r="N787" s="1"/>
    </row>
    <row r="788" spans="14:14" ht="15" thickBot="1" x14ac:dyDescent="0.35">
      <c r="N788" s="1"/>
    </row>
    <row r="789" spans="14:14" ht="15" thickBot="1" x14ac:dyDescent="0.35">
      <c r="N789" s="1"/>
    </row>
    <row r="790" spans="14:14" ht="15" thickBot="1" x14ac:dyDescent="0.35">
      <c r="N790" s="1"/>
    </row>
    <row r="791" spans="14:14" ht="15" thickBot="1" x14ac:dyDescent="0.35">
      <c r="N791" s="1"/>
    </row>
    <row r="792" spans="14:14" ht="15" thickBot="1" x14ac:dyDescent="0.35">
      <c r="N792" s="1"/>
    </row>
    <row r="793" spans="14:14" ht="15" thickBot="1" x14ac:dyDescent="0.35">
      <c r="N793" s="1"/>
    </row>
    <row r="794" spans="14:14" ht="15" thickBot="1" x14ac:dyDescent="0.35">
      <c r="N794" s="1"/>
    </row>
    <row r="795" spans="14:14" ht="15" thickBot="1" x14ac:dyDescent="0.35">
      <c r="N795" s="1"/>
    </row>
    <row r="796" spans="14:14" ht="15" thickBot="1" x14ac:dyDescent="0.35">
      <c r="N796" s="1"/>
    </row>
    <row r="797" spans="14:14" ht="15" thickBot="1" x14ac:dyDescent="0.35">
      <c r="N797" s="1"/>
    </row>
    <row r="798" spans="14:14" ht="15" thickBot="1" x14ac:dyDescent="0.35">
      <c r="N798" s="1"/>
    </row>
    <row r="799" spans="14:14" ht="15" thickBot="1" x14ac:dyDescent="0.35">
      <c r="N799" s="1"/>
    </row>
    <row r="800" spans="14:14" ht="15" thickBot="1" x14ac:dyDescent="0.35">
      <c r="N800" s="1"/>
    </row>
    <row r="801" spans="14:14" ht="15" thickBot="1" x14ac:dyDescent="0.35">
      <c r="N801" s="1"/>
    </row>
    <row r="802" spans="14:14" ht="15" thickBot="1" x14ac:dyDescent="0.35">
      <c r="N802" s="1"/>
    </row>
    <row r="803" spans="14:14" ht="15" thickBot="1" x14ac:dyDescent="0.35">
      <c r="N803" s="1"/>
    </row>
    <row r="804" spans="14:14" ht="15" thickBot="1" x14ac:dyDescent="0.35">
      <c r="N804" s="1"/>
    </row>
    <row r="805" spans="14:14" ht="15" thickBot="1" x14ac:dyDescent="0.35">
      <c r="N805" s="1"/>
    </row>
    <row r="806" spans="14:14" ht="15" thickBot="1" x14ac:dyDescent="0.35">
      <c r="N806" s="1"/>
    </row>
    <row r="807" spans="14:14" ht="15" thickBot="1" x14ac:dyDescent="0.35">
      <c r="N807" s="1"/>
    </row>
    <row r="808" spans="14:14" ht="15" thickBot="1" x14ac:dyDescent="0.35">
      <c r="N808" s="1"/>
    </row>
    <row r="809" spans="14:14" ht="15" thickBot="1" x14ac:dyDescent="0.35">
      <c r="N809" s="1"/>
    </row>
    <row r="810" spans="14:14" ht="15" thickBot="1" x14ac:dyDescent="0.35">
      <c r="N810" s="1"/>
    </row>
    <row r="811" spans="14:14" ht="15" thickBot="1" x14ac:dyDescent="0.35">
      <c r="N811" s="1"/>
    </row>
    <row r="812" spans="14:14" ht="15" thickBot="1" x14ac:dyDescent="0.35">
      <c r="N812" s="1"/>
    </row>
    <row r="813" spans="14:14" ht="15" thickBot="1" x14ac:dyDescent="0.35">
      <c r="N813" s="1"/>
    </row>
    <row r="814" spans="14:14" ht="15" thickBot="1" x14ac:dyDescent="0.35">
      <c r="N814" s="1"/>
    </row>
    <row r="815" spans="14:14" ht="15" thickBot="1" x14ac:dyDescent="0.35">
      <c r="N815" s="1"/>
    </row>
    <row r="816" spans="14:14" ht="15" thickBot="1" x14ac:dyDescent="0.35">
      <c r="N816" s="1"/>
    </row>
    <row r="817" spans="14:14" ht="15" thickBot="1" x14ac:dyDescent="0.35">
      <c r="N817" s="1"/>
    </row>
    <row r="818" spans="14:14" ht="15" thickBot="1" x14ac:dyDescent="0.35">
      <c r="N818" s="1"/>
    </row>
    <row r="819" spans="14:14" ht="15" thickBot="1" x14ac:dyDescent="0.35">
      <c r="N819" s="1"/>
    </row>
    <row r="820" spans="14:14" ht="15" thickBot="1" x14ac:dyDescent="0.35">
      <c r="N820" s="1"/>
    </row>
    <row r="821" spans="14:14" ht="15" thickBot="1" x14ac:dyDescent="0.35">
      <c r="N821" s="1"/>
    </row>
    <row r="822" spans="14:14" ht="15" thickBot="1" x14ac:dyDescent="0.35">
      <c r="N822" s="1"/>
    </row>
    <row r="823" spans="14:14" ht="15" thickBot="1" x14ac:dyDescent="0.35">
      <c r="N823" s="1"/>
    </row>
    <row r="824" spans="14:14" ht="15" thickBot="1" x14ac:dyDescent="0.35">
      <c r="N824" s="1"/>
    </row>
    <row r="825" spans="14:14" ht="15" thickBot="1" x14ac:dyDescent="0.35">
      <c r="N825" s="1"/>
    </row>
    <row r="826" spans="14:14" ht="15" thickBot="1" x14ac:dyDescent="0.35">
      <c r="N826" s="1"/>
    </row>
    <row r="827" spans="14:14" ht="15" thickBot="1" x14ac:dyDescent="0.35">
      <c r="N827" s="1"/>
    </row>
    <row r="828" spans="14:14" ht="15" thickBot="1" x14ac:dyDescent="0.35">
      <c r="N828" s="1"/>
    </row>
    <row r="829" spans="14:14" ht="15" thickBot="1" x14ac:dyDescent="0.35">
      <c r="N829" s="1"/>
    </row>
    <row r="830" spans="14:14" ht="15" thickBot="1" x14ac:dyDescent="0.35">
      <c r="N830" s="1"/>
    </row>
    <row r="831" spans="14:14" ht="15" thickBot="1" x14ac:dyDescent="0.35">
      <c r="N831" s="1"/>
    </row>
    <row r="832" spans="14:14" ht="15" thickBot="1" x14ac:dyDescent="0.35">
      <c r="N832" s="1"/>
    </row>
    <row r="833" spans="14:14" ht="15" thickBot="1" x14ac:dyDescent="0.35">
      <c r="N833" s="1"/>
    </row>
    <row r="834" spans="14:14" ht="15" thickBot="1" x14ac:dyDescent="0.35">
      <c r="N834" s="1"/>
    </row>
    <row r="835" spans="14:14" ht="15" thickBot="1" x14ac:dyDescent="0.35">
      <c r="N835" s="1"/>
    </row>
    <row r="836" spans="14:14" ht="15" thickBot="1" x14ac:dyDescent="0.35">
      <c r="N836" s="1"/>
    </row>
    <row r="837" spans="14:14" ht="15" thickBot="1" x14ac:dyDescent="0.35">
      <c r="N837" s="1"/>
    </row>
    <row r="838" spans="14:14" ht="15" thickBot="1" x14ac:dyDescent="0.35">
      <c r="N838" s="1"/>
    </row>
    <row r="839" spans="14:14" ht="15" thickBot="1" x14ac:dyDescent="0.35">
      <c r="N839" s="1"/>
    </row>
    <row r="840" spans="14:14" ht="15" thickBot="1" x14ac:dyDescent="0.35">
      <c r="N840" s="1"/>
    </row>
    <row r="841" spans="14:14" ht="15" thickBot="1" x14ac:dyDescent="0.35">
      <c r="N841" s="1"/>
    </row>
    <row r="842" spans="14:14" ht="15" thickBot="1" x14ac:dyDescent="0.35">
      <c r="N842" s="1"/>
    </row>
    <row r="843" spans="14:14" ht="15" thickBot="1" x14ac:dyDescent="0.35">
      <c r="N843" s="1"/>
    </row>
    <row r="844" spans="14:14" ht="15" thickBot="1" x14ac:dyDescent="0.35">
      <c r="N844" s="1"/>
    </row>
    <row r="845" spans="14:14" ht="15" thickBot="1" x14ac:dyDescent="0.35">
      <c r="N845" s="1"/>
    </row>
    <row r="846" spans="14:14" ht="15" thickBot="1" x14ac:dyDescent="0.35">
      <c r="N846" s="1"/>
    </row>
    <row r="847" spans="14:14" ht="15" thickBot="1" x14ac:dyDescent="0.35">
      <c r="N847" s="1"/>
    </row>
    <row r="848" spans="14:14" ht="15" thickBot="1" x14ac:dyDescent="0.35">
      <c r="N848" s="1"/>
    </row>
    <row r="849" spans="14:14" ht="15" thickBot="1" x14ac:dyDescent="0.35">
      <c r="N849" s="1"/>
    </row>
    <row r="850" spans="14:14" ht="15" thickBot="1" x14ac:dyDescent="0.35">
      <c r="N850" s="1"/>
    </row>
    <row r="851" spans="14:14" ht="15" thickBot="1" x14ac:dyDescent="0.35">
      <c r="N851" s="1"/>
    </row>
    <row r="852" spans="14:14" ht="15" thickBot="1" x14ac:dyDescent="0.35">
      <c r="N852" s="1"/>
    </row>
    <row r="853" spans="14:14" ht="15" thickBot="1" x14ac:dyDescent="0.35">
      <c r="N853" s="1"/>
    </row>
    <row r="854" spans="14:14" ht="15" thickBot="1" x14ac:dyDescent="0.35">
      <c r="N854" s="1"/>
    </row>
    <row r="855" spans="14:14" ht="15" thickBot="1" x14ac:dyDescent="0.35">
      <c r="N855" s="1"/>
    </row>
    <row r="856" spans="14:14" ht="15" thickBot="1" x14ac:dyDescent="0.35">
      <c r="N856" s="1"/>
    </row>
    <row r="857" spans="14:14" ht="15" thickBot="1" x14ac:dyDescent="0.35">
      <c r="N857" s="1"/>
    </row>
    <row r="858" spans="14:14" ht="15" thickBot="1" x14ac:dyDescent="0.35">
      <c r="N858" s="1"/>
    </row>
    <row r="859" spans="14:14" ht="15" thickBot="1" x14ac:dyDescent="0.35">
      <c r="N859" s="1"/>
    </row>
    <row r="860" spans="14:14" ht="15" thickBot="1" x14ac:dyDescent="0.35">
      <c r="N860" s="1"/>
    </row>
    <row r="861" spans="14:14" ht="15" thickBot="1" x14ac:dyDescent="0.35">
      <c r="N861" s="1"/>
    </row>
    <row r="862" spans="14:14" ht="15" thickBot="1" x14ac:dyDescent="0.35">
      <c r="N862" s="1"/>
    </row>
    <row r="863" spans="14:14" ht="15" thickBot="1" x14ac:dyDescent="0.35">
      <c r="N863" s="1"/>
    </row>
    <row r="864" spans="14:14" ht="15" thickBot="1" x14ac:dyDescent="0.35">
      <c r="N864" s="1"/>
    </row>
    <row r="865" spans="14:14" ht="15" thickBot="1" x14ac:dyDescent="0.35">
      <c r="N865" s="1"/>
    </row>
    <row r="866" spans="14:14" ht="15" thickBot="1" x14ac:dyDescent="0.35">
      <c r="N866" s="1"/>
    </row>
    <row r="867" spans="14:14" ht="15" thickBot="1" x14ac:dyDescent="0.35">
      <c r="N867" s="1"/>
    </row>
    <row r="868" spans="14:14" ht="15" thickBot="1" x14ac:dyDescent="0.35">
      <c r="N868" s="1"/>
    </row>
    <row r="869" spans="14:14" ht="15" thickBot="1" x14ac:dyDescent="0.35">
      <c r="N869" s="1"/>
    </row>
    <row r="870" spans="14:14" ht="15" thickBot="1" x14ac:dyDescent="0.35">
      <c r="N870" s="1"/>
    </row>
    <row r="871" spans="14:14" ht="15" thickBot="1" x14ac:dyDescent="0.35">
      <c r="N871" s="1"/>
    </row>
    <row r="872" spans="14:14" ht="15" thickBot="1" x14ac:dyDescent="0.35">
      <c r="N872" s="1"/>
    </row>
    <row r="873" spans="14:14" ht="15" thickBot="1" x14ac:dyDescent="0.35">
      <c r="N873" s="1"/>
    </row>
    <row r="874" spans="14:14" ht="15" thickBot="1" x14ac:dyDescent="0.35">
      <c r="N874" s="1"/>
    </row>
    <row r="875" spans="14:14" ht="15" thickBot="1" x14ac:dyDescent="0.35">
      <c r="N875" s="1"/>
    </row>
    <row r="876" spans="14:14" ht="15" thickBot="1" x14ac:dyDescent="0.35">
      <c r="N876" s="1"/>
    </row>
    <row r="877" spans="14:14" ht="15" thickBot="1" x14ac:dyDescent="0.35">
      <c r="N877" s="1"/>
    </row>
    <row r="878" spans="14:14" ht="15" thickBot="1" x14ac:dyDescent="0.35">
      <c r="N878" s="1"/>
    </row>
    <row r="879" spans="14:14" ht="15" thickBot="1" x14ac:dyDescent="0.35">
      <c r="N879" s="1"/>
    </row>
    <row r="880" spans="14:14" ht="15" thickBot="1" x14ac:dyDescent="0.35">
      <c r="N880" s="1"/>
    </row>
    <row r="881" spans="14:14" ht="15" thickBot="1" x14ac:dyDescent="0.35">
      <c r="N881" s="1"/>
    </row>
    <row r="882" spans="14:14" ht="15" thickBot="1" x14ac:dyDescent="0.35">
      <c r="N882" s="1"/>
    </row>
    <row r="883" spans="14:14" ht="15" thickBot="1" x14ac:dyDescent="0.35">
      <c r="N883" s="1"/>
    </row>
    <row r="884" spans="14:14" ht="15" thickBot="1" x14ac:dyDescent="0.35">
      <c r="N884" s="1"/>
    </row>
    <row r="885" spans="14:14" ht="15" thickBot="1" x14ac:dyDescent="0.35">
      <c r="N885" s="1"/>
    </row>
    <row r="886" spans="14:14" ht="15" thickBot="1" x14ac:dyDescent="0.35">
      <c r="N886" s="1"/>
    </row>
    <row r="887" spans="14:14" ht="15" thickBot="1" x14ac:dyDescent="0.35">
      <c r="N887" s="1"/>
    </row>
    <row r="888" spans="14:14" ht="15" thickBot="1" x14ac:dyDescent="0.35">
      <c r="N888" s="1"/>
    </row>
    <row r="889" spans="14:14" ht="15" thickBot="1" x14ac:dyDescent="0.35">
      <c r="N889" s="1"/>
    </row>
    <row r="890" spans="14:14" ht="15" thickBot="1" x14ac:dyDescent="0.35">
      <c r="N890" s="1"/>
    </row>
    <row r="891" spans="14:14" ht="15" thickBot="1" x14ac:dyDescent="0.35">
      <c r="N891" s="1"/>
    </row>
    <row r="892" spans="14:14" ht="15" thickBot="1" x14ac:dyDescent="0.35">
      <c r="N892" s="1"/>
    </row>
    <row r="893" spans="14:14" ht="15" thickBot="1" x14ac:dyDescent="0.35">
      <c r="N893" s="1"/>
    </row>
    <row r="894" spans="14:14" ht="15" thickBot="1" x14ac:dyDescent="0.35">
      <c r="N894" s="1"/>
    </row>
    <row r="895" spans="14:14" ht="15" thickBot="1" x14ac:dyDescent="0.35">
      <c r="N895" s="1"/>
    </row>
    <row r="896" spans="14:14" ht="15" thickBot="1" x14ac:dyDescent="0.35">
      <c r="N896" s="1"/>
    </row>
    <row r="897" spans="14:14" ht="15" thickBot="1" x14ac:dyDescent="0.35">
      <c r="N897" s="1"/>
    </row>
    <row r="898" spans="14:14" ht="15" thickBot="1" x14ac:dyDescent="0.35">
      <c r="N898" s="1"/>
    </row>
    <row r="899" spans="14:14" ht="15" thickBot="1" x14ac:dyDescent="0.35">
      <c r="N899" s="1"/>
    </row>
    <row r="900" spans="14:14" ht="15" thickBot="1" x14ac:dyDescent="0.35">
      <c r="N900" s="1"/>
    </row>
    <row r="901" spans="14:14" ht="15" thickBot="1" x14ac:dyDescent="0.35">
      <c r="N901" s="1"/>
    </row>
    <row r="902" spans="14:14" ht="15" thickBot="1" x14ac:dyDescent="0.35">
      <c r="N902" s="1"/>
    </row>
    <row r="903" spans="14:14" ht="15" thickBot="1" x14ac:dyDescent="0.35">
      <c r="N903" s="1"/>
    </row>
    <row r="904" spans="14:14" ht="15" thickBot="1" x14ac:dyDescent="0.35">
      <c r="N904" s="1"/>
    </row>
    <row r="905" spans="14:14" ht="15" thickBot="1" x14ac:dyDescent="0.35">
      <c r="N905" s="1"/>
    </row>
    <row r="906" spans="14:14" ht="15" thickBot="1" x14ac:dyDescent="0.35">
      <c r="N906" s="1"/>
    </row>
    <row r="907" spans="14:14" ht="15" thickBot="1" x14ac:dyDescent="0.35">
      <c r="N907" s="1"/>
    </row>
    <row r="908" spans="14:14" ht="15" thickBot="1" x14ac:dyDescent="0.35">
      <c r="N908" s="1"/>
    </row>
    <row r="909" spans="14:14" ht="15" thickBot="1" x14ac:dyDescent="0.35">
      <c r="N909" s="1"/>
    </row>
    <row r="910" spans="14:14" ht="15" thickBot="1" x14ac:dyDescent="0.35">
      <c r="N910" s="1"/>
    </row>
    <row r="911" spans="14:14" ht="15" thickBot="1" x14ac:dyDescent="0.35">
      <c r="N911" s="1"/>
    </row>
    <row r="912" spans="14:14" ht="15" thickBot="1" x14ac:dyDescent="0.35">
      <c r="N912" s="1"/>
    </row>
    <row r="913" spans="14:14" ht="15" thickBot="1" x14ac:dyDescent="0.35">
      <c r="N913" s="1"/>
    </row>
    <row r="914" spans="14:14" ht="15" thickBot="1" x14ac:dyDescent="0.35">
      <c r="N914" s="1"/>
    </row>
    <row r="915" spans="14:14" ht="15" thickBot="1" x14ac:dyDescent="0.35">
      <c r="N915" s="1"/>
    </row>
    <row r="916" spans="14:14" ht="15" thickBot="1" x14ac:dyDescent="0.35">
      <c r="N916" s="1"/>
    </row>
    <row r="917" spans="14:14" ht="15" thickBot="1" x14ac:dyDescent="0.35">
      <c r="N917" s="1"/>
    </row>
    <row r="918" spans="14:14" ht="15" thickBot="1" x14ac:dyDescent="0.35">
      <c r="N918" s="1"/>
    </row>
    <row r="919" spans="14:14" ht="15" thickBot="1" x14ac:dyDescent="0.35">
      <c r="N919" s="1"/>
    </row>
    <row r="920" spans="14:14" ht="15" thickBot="1" x14ac:dyDescent="0.35">
      <c r="N920" s="1"/>
    </row>
    <row r="921" spans="14:14" ht="15" thickBot="1" x14ac:dyDescent="0.35">
      <c r="N921" s="1"/>
    </row>
    <row r="922" spans="14:14" ht="15" thickBot="1" x14ac:dyDescent="0.35">
      <c r="N922" s="1"/>
    </row>
    <row r="923" spans="14:14" ht="15" thickBot="1" x14ac:dyDescent="0.35">
      <c r="N923" s="1"/>
    </row>
    <row r="924" spans="14:14" ht="15" thickBot="1" x14ac:dyDescent="0.35">
      <c r="N924" s="1"/>
    </row>
    <row r="925" spans="14:14" ht="15" thickBot="1" x14ac:dyDescent="0.35">
      <c r="N925" s="1"/>
    </row>
    <row r="926" spans="14:14" ht="15" thickBot="1" x14ac:dyDescent="0.35">
      <c r="N926" s="1"/>
    </row>
    <row r="927" spans="14:14" ht="15" thickBot="1" x14ac:dyDescent="0.35">
      <c r="N927" s="1"/>
    </row>
    <row r="928" spans="14:14" ht="15" thickBot="1" x14ac:dyDescent="0.35">
      <c r="N928" s="1"/>
    </row>
    <row r="929" spans="14:14" ht="15" thickBot="1" x14ac:dyDescent="0.35">
      <c r="N929" s="1"/>
    </row>
    <row r="930" spans="14:14" ht="15" thickBot="1" x14ac:dyDescent="0.35">
      <c r="N930" s="1"/>
    </row>
    <row r="931" spans="14:14" ht="15" thickBot="1" x14ac:dyDescent="0.35">
      <c r="N931" s="1"/>
    </row>
    <row r="932" spans="14:14" ht="15" thickBot="1" x14ac:dyDescent="0.35">
      <c r="N932" s="1"/>
    </row>
    <row r="933" spans="14:14" ht="15" thickBot="1" x14ac:dyDescent="0.35">
      <c r="N933" s="1"/>
    </row>
    <row r="934" spans="14:14" ht="15" thickBot="1" x14ac:dyDescent="0.35">
      <c r="N934" s="1"/>
    </row>
    <row r="935" spans="14:14" ht="15" thickBot="1" x14ac:dyDescent="0.35">
      <c r="N935" s="1"/>
    </row>
    <row r="936" spans="14:14" ht="15" thickBot="1" x14ac:dyDescent="0.35">
      <c r="N936" s="1"/>
    </row>
    <row r="937" spans="14:14" ht="15" thickBot="1" x14ac:dyDescent="0.35">
      <c r="N937" s="1"/>
    </row>
    <row r="938" spans="14:14" ht="15" thickBot="1" x14ac:dyDescent="0.35">
      <c r="N938" s="1"/>
    </row>
    <row r="939" spans="14:14" ht="15" thickBot="1" x14ac:dyDescent="0.35">
      <c r="N939" s="1"/>
    </row>
    <row r="940" spans="14:14" ht="15" thickBot="1" x14ac:dyDescent="0.35">
      <c r="N940" s="1"/>
    </row>
    <row r="941" spans="14:14" ht="15" thickBot="1" x14ac:dyDescent="0.35">
      <c r="N941" s="1"/>
    </row>
    <row r="942" spans="14:14" ht="15" thickBot="1" x14ac:dyDescent="0.35">
      <c r="N942" s="1"/>
    </row>
    <row r="943" spans="14:14" ht="15" thickBot="1" x14ac:dyDescent="0.35">
      <c r="N943" s="1"/>
    </row>
    <row r="944" spans="14:14" ht="15" thickBot="1" x14ac:dyDescent="0.35">
      <c r="N944" s="1"/>
    </row>
    <row r="945" spans="14:14" ht="15" thickBot="1" x14ac:dyDescent="0.35">
      <c r="N945" s="1"/>
    </row>
    <row r="946" spans="14:14" ht="15" thickBot="1" x14ac:dyDescent="0.35">
      <c r="N946" s="1"/>
    </row>
    <row r="947" spans="14:14" ht="15" thickBot="1" x14ac:dyDescent="0.35">
      <c r="N947" s="1"/>
    </row>
    <row r="948" spans="14:14" ht="15" thickBot="1" x14ac:dyDescent="0.35">
      <c r="N948" s="1"/>
    </row>
    <row r="949" spans="14:14" ht="15" thickBot="1" x14ac:dyDescent="0.35">
      <c r="N949" s="1"/>
    </row>
    <row r="950" spans="14:14" ht="15" thickBot="1" x14ac:dyDescent="0.35">
      <c r="N950" s="1"/>
    </row>
    <row r="951" spans="14:14" ht="15" thickBot="1" x14ac:dyDescent="0.35">
      <c r="N951" s="1"/>
    </row>
    <row r="952" spans="14:14" ht="15" thickBot="1" x14ac:dyDescent="0.35">
      <c r="N952" s="1"/>
    </row>
    <row r="953" spans="14:14" ht="15" thickBot="1" x14ac:dyDescent="0.35">
      <c r="N953" s="1"/>
    </row>
    <row r="954" spans="14:14" ht="15" thickBot="1" x14ac:dyDescent="0.35">
      <c r="N954" s="1"/>
    </row>
    <row r="955" spans="14:14" ht="15" thickBot="1" x14ac:dyDescent="0.35">
      <c r="N955" s="1"/>
    </row>
    <row r="956" spans="14:14" ht="15" thickBot="1" x14ac:dyDescent="0.35">
      <c r="N956" s="1"/>
    </row>
    <row r="957" spans="14:14" ht="15" thickBot="1" x14ac:dyDescent="0.35">
      <c r="N957" s="1"/>
    </row>
    <row r="958" spans="14:14" ht="15" thickBot="1" x14ac:dyDescent="0.35">
      <c r="N958" s="1"/>
    </row>
    <row r="959" spans="14:14" ht="15" thickBot="1" x14ac:dyDescent="0.35">
      <c r="N959" s="1"/>
    </row>
    <row r="960" spans="14:14" ht="15" thickBot="1" x14ac:dyDescent="0.35">
      <c r="N960" s="1"/>
    </row>
    <row r="961" spans="14:14" ht="15" thickBot="1" x14ac:dyDescent="0.35">
      <c r="N961" s="1"/>
    </row>
    <row r="962" spans="14:14" ht="15" thickBot="1" x14ac:dyDescent="0.35">
      <c r="N962" s="1"/>
    </row>
    <row r="963" spans="14:14" ht="15" thickBot="1" x14ac:dyDescent="0.35">
      <c r="N963" s="1"/>
    </row>
    <row r="964" spans="14:14" ht="15" thickBot="1" x14ac:dyDescent="0.35">
      <c r="N964" s="1"/>
    </row>
    <row r="965" spans="14:14" ht="15" thickBot="1" x14ac:dyDescent="0.35">
      <c r="N965" s="1"/>
    </row>
    <row r="966" spans="14:14" ht="15" thickBot="1" x14ac:dyDescent="0.35">
      <c r="N966" s="1"/>
    </row>
    <row r="967" spans="14:14" ht="15" thickBot="1" x14ac:dyDescent="0.35">
      <c r="N967" s="1"/>
    </row>
    <row r="968" spans="14:14" ht="15" thickBot="1" x14ac:dyDescent="0.35">
      <c r="N968" s="1"/>
    </row>
    <row r="969" spans="14:14" ht="15" thickBot="1" x14ac:dyDescent="0.35">
      <c r="N969" s="1"/>
    </row>
    <row r="970" spans="14:14" ht="15" thickBot="1" x14ac:dyDescent="0.35">
      <c r="N970" s="1"/>
    </row>
    <row r="971" spans="14:14" ht="15" thickBot="1" x14ac:dyDescent="0.35">
      <c r="N971" s="1"/>
    </row>
    <row r="972" spans="14:14" ht="15" thickBot="1" x14ac:dyDescent="0.35">
      <c r="N972" s="1"/>
    </row>
    <row r="973" spans="14:14" ht="15" thickBot="1" x14ac:dyDescent="0.35">
      <c r="N973" s="1"/>
    </row>
    <row r="974" spans="14:14" ht="15" thickBot="1" x14ac:dyDescent="0.35">
      <c r="N974" s="1"/>
    </row>
    <row r="975" spans="14:14" ht="15" thickBot="1" x14ac:dyDescent="0.35">
      <c r="N975" s="1"/>
    </row>
    <row r="976" spans="14:14" ht="15" thickBot="1" x14ac:dyDescent="0.35">
      <c r="N976" s="1"/>
    </row>
    <row r="977" spans="14:14" ht="15" thickBot="1" x14ac:dyDescent="0.35">
      <c r="N977" s="1"/>
    </row>
    <row r="978" spans="14:14" ht="15" thickBot="1" x14ac:dyDescent="0.35">
      <c r="N978" s="1"/>
    </row>
    <row r="979" spans="14:14" ht="15" thickBot="1" x14ac:dyDescent="0.35">
      <c r="N979" s="1"/>
    </row>
    <row r="980" spans="14:14" ht="15" thickBot="1" x14ac:dyDescent="0.35">
      <c r="N980" s="1"/>
    </row>
    <row r="981" spans="14:14" ht="15" thickBot="1" x14ac:dyDescent="0.35">
      <c r="N981" s="1"/>
    </row>
    <row r="982" spans="14:14" ht="15" thickBot="1" x14ac:dyDescent="0.35">
      <c r="N982" s="1"/>
    </row>
    <row r="983" spans="14:14" ht="15" thickBot="1" x14ac:dyDescent="0.35">
      <c r="N983" s="1"/>
    </row>
    <row r="984" spans="14:14" ht="15" thickBot="1" x14ac:dyDescent="0.35">
      <c r="N984" s="1"/>
    </row>
    <row r="985" spans="14:14" ht="15" thickBot="1" x14ac:dyDescent="0.35">
      <c r="N985" s="1"/>
    </row>
    <row r="986" spans="14:14" ht="15" thickBot="1" x14ac:dyDescent="0.35">
      <c r="N986" s="1"/>
    </row>
    <row r="987" spans="14:14" ht="15" thickBot="1" x14ac:dyDescent="0.35">
      <c r="N987" s="1"/>
    </row>
    <row r="988" spans="14:14" ht="15" thickBot="1" x14ac:dyDescent="0.35">
      <c r="N988" s="1"/>
    </row>
    <row r="989" spans="14:14" ht="15" thickBot="1" x14ac:dyDescent="0.35">
      <c r="N989" s="1"/>
    </row>
    <row r="990" spans="14:14" ht="15" thickBot="1" x14ac:dyDescent="0.35">
      <c r="N990" s="1"/>
    </row>
    <row r="991" spans="14:14" ht="15" thickBot="1" x14ac:dyDescent="0.35">
      <c r="N991" s="1"/>
    </row>
    <row r="992" spans="14:14" ht="15" thickBot="1" x14ac:dyDescent="0.35">
      <c r="N992" s="1"/>
    </row>
    <row r="993" spans="14:14" ht="15" thickBot="1" x14ac:dyDescent="0.35">
      <c r="N993" s="1"/>
    </row>
    <row r="994" spans="14:14" ht="15" thickBot="1" x14ac:dyDescent="0.35">
      <c r="N994" s="1"/>
    </row>
    <row r="995" spans="14:14" ht="15" thickBot="1" x14ac:dyDescent="0.35">
      <c r="N995" s="1"/>
    </row>
    <row r="996" spans="14:14" ht="15" thickBot="1" x14ac:dyDescent="0.35">
      <c r="N996" s="1"/>
    </row>
    <row r="997" spans="14:14" ht="15" thickBot="1" x14ac:dyDescent="0.35">
      <c r="N997" s="1"/>
    </row>
    <row r="998" spans="14:14" ht="15" thickBot="1" x14ac:dyDescent="0.35">
      <c r="N998" s="1"/>
    </row>
    <row r="999" spans="14:14" ht="15" thickBot="1" x14ac:dyDescent="0.35">
      <c r="N999" s="1"/>
    </row>
  </sheetData>
  <autoFilter ref="A1:K232" xr:uid="{B7F0C65A-B5CA-4DE2-AF4F-EB7E460E1E58}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77B5-027D-41D8-8776-5D2C854FF5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SHARUN</dc:creator>
  <cp:lastModifiedBy>S SHARUN</cp:lastModifiedBy>
  <dcterms:created xsi:type="dcterms:W3CDTF">2025-11-16T15:14:40Z</dcterms:created>
  <dcterms:modified xsi:type="dcterms:W3CDTF">2025-11-18T16:02:39Z</dcterms:modified>
</cp:coreProperties>
</file>